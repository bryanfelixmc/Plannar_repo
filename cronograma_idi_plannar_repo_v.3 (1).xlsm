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23040" windowHeight="9195" firstSheet="3" activeTab="3"/>
  </bookViews>
  <sheets>
    <sheet name="Hoja1" sheetId="1" state="hidden" r:id="rId1"/>
    <sheet name="Hoja2" sheetId="2" state="hidden" r:id="rId2"/>
    <sheet name="Hoja3" sheetId="3" state="hidden" r:id="rId3"/>
    <sheet name="Hoja4" sheetId="4" r:id="rId4"/>
  </sheets>
  <definedNames>
    <definedName name="_xlnm.Print_Area" localSheetId="3">Hoja4!$A$2:$AL$22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4" l="1"/>
  <c r="J3" i="4"/>
  <c r="K3" i="4" s="1"/>
  <c r="L3" i="4" s="1"/>
  <c r="M3" i="4" s="1"/>
  <c r="N3" i="4" s="1"/>
  <c r="O3" i="4" s="1"/>
  <c r="P3" i="4" s="1"/>
  <c r="Q3" i="4" s="1"/>
  <c r="R3" i="4" s="1"/>
  <c r="S3" i="4" s="1"/>
  <c r="T3" i="4" s="1"/>
  <c r="U3" i="4" s="1"/>
  <c r="V3" i="4" s="1"/>
  <c r="W3" i="4" s="1"/>
  <c r="X3" i="4" s="1"/>
  <c r="Y3" i="4" s="1"/>
  <c r="Z3" i="4" s="1"/>
  <c r="AA3" i="4" s="1"/>
  <c r="AB3" i="4" s="1"/>
  <c r="AC3" i="4" s="1"/>
  <c r="AD3" i="4" s="1"/>
  <c r="AE3" i="4" s="1"/>
  <c r="AF3" i="4" s="1"/>
  <c r="AG3" i="4" s="1"/>
  <c r="AH3" i="4" s="1"/>
  <c r="AI3" i="4" s="1"/>
  <c r="AJ3" i="4" s="1"/>
  <c r="AK3" i="4" s="1"/>
  <c r="AL3" i="4" s="1"/>
  <c r="AL3" i="3"/>
  <c r="AK3" i="3"/>
  <c r="J3" i="3"/>
  <c r="K3" i="3" s="1"/>
  <c r="L3" i="3" s="1"/>
  <c r="M3" i="3" s="1"/>
  <c r="N3" i="3" s="1"/>
  <c r="O3" i="3" s="1"/>
  <c r="P3" i="3" s="1"/>
  <c r="Q3" i="3" s="1"/>
  <c r="R3" i="3" s="1"/>
  <c r="S3" i="3" s="1"/>
  <c r="T3" i="3" s="1"/>
  <c r="U3" i="3" s="1"/>
  <c r="V3" i="3" s="1"/>
  <c r="W3" i="3" s="1"/>
  <c r="X3" i="3" s="1"/>
  <c r="Y3" i="3" s="1"/>
  <c r="Z3" i="3" s="1"/>
  <c r="AA3" i="3" s="1"/>
  <c r="AB3" i="3" s="1"/>
  <c r="AC3" i="3" s="1"/>
  <c r="AD3" i="3" s="1"/>
  <c r="AE3" i="3" s="1"/>
  <c r="AF3" i="3" s="1"/>
  <c r="AG3" i="3" s="1"/>
  <c r="AH3" i="3" s="1"/>
  <c r="AI3" i="3" s="1"/>
  <c r="AJ3" i="3" s="1"/>
  <c r="F5" i="3"/>
  <c r="G5" i="3" s="1"/>
  <c r="F6" i="3" s="1"/>
  <c r="G6" i="3" s="1"/>
  <c r="F7" i="3" s="1"/>
  <c r="G7" i="3" s="1"/>
  <c r="F8" i="3" s="1"/>
  <c r="G8" i="3" s="1"/>
  <c r="F9" i="3" s="1"/>
  <c r="G9" i="3" s="1"/>
  <c r="F10" i="3" s="1"/>
  <c r="G10" i="3" s="1"/>
  <c r="F11" i="3" s="1"/>
  <c r="G11" i="3" s="1"/>
  <c r="F12" i="3" s="1"/>
  <c r="G12" i="3" s="1"/>
  <c r="F13" i="3" s="1"/>
  <c r="G13" i="3" s="1"/>
  <c r="F14" i="3" s="1"/>
  <c r="G14" i="3" s="1"/>
  <c r="F15" i="3" s="1"/>
  <c r="G15" i="3" s="1"/>
  <c r="F16" i="3" s="1"/>
  <c r="G16" i="3" s="1"/>
  <c r="F17" i="3" s="1"/>
  <c r="G17" i="3" s="1"/>
  <c r="F18" i="3" s="1"/>
  <c r="G18" i="3" s="1"/>
  <c r="F19" i="3" s="1"/>
  <c r="G19" i="3" s="1"/>
  <c r="F20" i="3" s="1"/>
  <c r="G20" i="3" s="1"/>
  <c r="F21" i="3" s="1"/>
  <c r="G21" i="3" s="1"/>
  <c r="F22" i="3" s="1"/>
  <c r="G22" i="3" s="1"/>
  <c r="G5" i="4" l="1"/>
  <c r="F6" i="4" s="1"/>
  <c r="G6" i="4" l="1"/>
  <c r="F7" i="4" s="1"/>
  <c r="G7" i="4" l="1"/>
  <c r="F8" i="4" s="1"/>
  <c r="G8" i="4" l="1"/>
  <c r="F9" i="4" s="1"/>
  <c r="G9" i="4" l="1"/>
  <c r="F10" i="4" s="1"/>
  <c r="G10" i="4" l="1"/>
  <c r="F11" i="4" s="1"/>
  <c r="G11" i="4" l="1"/>
  <c r="F12" i="4" s="1"/>
  <c r="G12" i="4" l="1"/>
  <c r="F13" i="4" s="1"/>
  <c r="G13" i="4" l="1"/>
  <c r="F14" i="4" s="1"/>
  <c r="G14" i="4" l="1"/>
  <c r="F15" i="4" s="1"/>
  <c r="G15" i="4" l="1"/>
  <c r="F16" i="4" s="1"/>
  <c r="G16" i="4" l="1"/>
  <c r="F17" i="4" s="1"/>
  <c r="G17" i="4" l="1"/>
  <c r="F18" i="4" s="1"/>
  <c r="G18" i="4" l="1"/>
  <c r="F19" i="4" s="1"/>
  <c r="G19" i="4" l="1"/>
  <c r="F20" i="4" s="1"/>
  <c r="G20" i="4" l="1"/>
  <c r="F21" i="4" s="1"/>
  <c r="G21" i="4" l="1"/>
  <c r="F22" i="4" s="1"/>
  <c r="G22" i="4" l="1"/>
</calcChain>
</file>

<file path=xl/sharedStrings.xml><?xml version="1.0" encoding="utf-8"?>
<sst xmlns="http://schemas.openxmlformats.org/spreadsheetml/2006/main" count="351" uniqueCount="155">
  <si>
    <t>Numero</t>
  </si>
  <si>
    <t>Inicio</t>
  </si>
  <si>
    <t>Fin</t>
  </si>
  <si>
    <t>Duracion</t>
  </si>
  <si>
    <t>Descripcion</t>
  </si>
  <si>
    <t>01</t>
  </si>
  <si>
    <t>02</t>
  </si>
  <si>
    <t>03</t>
  </si>
  <si>
    <t>04</t>
  </si>
  <si>
    <t>Actividades iniciales</t>
  </si>
  <si>
    <t>Diseño conceptual del programa</t>
  </si>
  <si>
    <t>Diseño Front end</t>
  </si>
  <si>
    <t>Diseño Back end</t>
  </si>
  <si>
    <t>Etapa de programacion Front end</t>
  </si>
  <si>
    <t>Etapa de programacion Back end</t>
  </si>
  <si>
    <t>Consolidacion de repositorio</t>
  </si>
  <si>
    <t>Evaluacion de funcionalidades</t>
  </si>
  <si>
    <t>Opinion de usuarios</t>
  </si>
  <si>
    <t>Periodo de mejoras</t>
  </si>
  <si>
    <t>Testeo</t>
  </si>
  <si>
    <t>entrega de producto final</t>
  </si>
  <si>
    <t>05</t>
  </si>
  <si>
    <t>06</t>
  </si>
  <si>
    <t>07</t>
  </si>
  <si>
    <t>08</t>
  </si>
  <si>
    <t>09</t>
  </si>
  <si>
    <t>10</t>
  </si>
  <si>
    <t>11</t>
  </si>
  <si>
    <t>12</t>
  </si>
  <si>
    <t>Para organizar y mejorar eficazmente el proceso de desarrollo del programa de diseño de subestaciones eléctricas con PyQt5, podemos desglosar las tareas en un cronograma estructurado. Este cronograma incluirá los pasos principales, asignará responsabilidades a los desarrolladores y proporcionará un cronograma para cada fase.</t>
  </si>
  <si>
    <t>Initial Activities</t>
  </si>
  <si>
    <t>Backend Design</t>
  </si>
  <si>
    <t>Repository Consolidation</t>
  </si>
  <si>
    <t>Functionality Evaluation</t>
  </si>
  <si>
    <t>Improvement Period</t>
  </si>
  <si>
    <t>Conceptual Design of the Program</t>
  </si>
  <si>
    <t>User Experience (UX) Research</t>
  </si>
  <si>
    <t xml:space="preserve">Prototyping </t>
  </si>
  <si>
    <t>13</t>
  </si>
  <si>
    <t>14</t>
  </si>
  <si>
    <t>15</t>
  </si>
  <si>
    <t>16</t>
  </si>
  <si>
    <t>17</t>
  </si>
  <si>
    <t>18</t>
  </si>
  <si>
    <t>19</t>
  </si>
  <si>
    <t xml:space="preserve">Frontend Design </t>
  </si>
  <si>
    <t>Frontend Programming Phase</t>
  </si>
  <si>
    <t>Backend Programming Phase</t>
  </si>
  <si>
    <t>Performance Optimization</t>
  </si>
  <si>
    <t>Security Assessment</t>
  </si>
  <si>
    <t>User Feedback</t>
  </si>
  <si>
    <t xml:space="preserve">Testing </t>
  </si>
  <si>
    <t>Documentation and Training Materials</t>
  </si>
  <si>
    <t>Deployment Preparation</t>
  </si>
  <si>
    <t>Post-Deployment Support</t>
  </si>
  <si>
    <t>Task</t>
  </si>
  <si>
    <t>Project Schedule</t>
  </si>
  <si>
    <t>Nº</t>
  </si>
  <si>
    <t>Objective</t>
  </si>
  <si>
    <t>Start</t>
  </si>
  <si>
    <t>End</t>
  </si>
  <si>
    <t>Duration (weeks)</t>
  </si>
  <si>
    <t>- **Objective**: Define project scope, requirements, and team roles.
- **Tasks**:
  - Kick-off meeting to discuss project goals.
  - Define user requirements and specifications.
  - Assign roles and responsibilities.
- **Team**: All developers (1 Senior, 3 Junior)</t>
  </si>
  <si>
    <t>- **Objective**: Create a high-level design of the application.
- **Tasks**:
  - Outline the main features and functionalities.
  - Create wireframes for the user interface.
  - Define the architecture (MVC, MVVM, etc.).
- **Team**: Senior Developer leads, Junior Developers assist.</t>
  </si>
  <si>
    <t xml:space="preserve">- **Objective**: Understand user needs and preferences to improve usability.
- **Tasks**:
  - Conduct surveys and interviews with potential users.
  - Analyze existing applications for best practices in UX design.
  - Create user personas and scenarios.
- **Team**: 1 Junior Developer (research and documentation), Senior Developer (oversight).
</t>
  </si>
  <si>
    <t>- **Objective**: Create interactive prototypes to visualize the application flow.
- **Tasks**:
  - Use tools like Figma or Adobe XD to create clickable prototypes.
  - Present prototypes to stakeholders for feedback.
  - Iterate on the design based on feedback.
- **Team**: 1 Junior Developer (design and iteration), Senior Developer (review).</t>
  </si>
  <si>
    <t>- **Objective**: Design the user interface using PyQt5.
- **Tasks**:
  - Create UI mockups based on wireframes.
  - Implement the layout in Qt Designer.
  - Define styles and themes.
- **Team**: 2 Junior Developers (1 focused on layout, 1 on styling), Senior Developer reviews.</t>
  </si>
  <si>
    <t>- **Objective**: Design the backend architecture and database schema.
- **Tasks**:
  - Define data models and relationships.
  - Create API endpoints if needed.
  - Plan data storage (e.g., SQLite, JSON).
- **Team**: Senior Developer leads, 1 Junior Developer assists.</t>
  </si>
  <si>
    <t>- **Objective**: Implement the frontend functionality.
- **Tasks**:
  - Develop UI components and connect signals/slots.
  - Implement user interactions and data display.
  - Integrate with backend services.
- **Team**: 2 Junior Developers (1 focused on UI components, 1 on data integration), Senior Developer oversees.</t>
  </si>
  <si>
    <t>- **Objective**: Implement backend functionality.
- **Tasks**:
  - Develop data models and business logic.
  - Implement API endpoints and data handling.
  - Ensure data validation and error handling.
- **Team**: Senior Developer leads, 1 Junior Developer assists.</t>
  </si>
  <si>
    <t>- **Objective**: Ensure the application runs efficiently and can handle large datasets.
- **Tasks**:
  - Profile the application to identify performance bottlenecks.
  - Optimize data loading and rendering processes.
  - Implement caching strategies where applicable.
- **Team**: Senior Developer leads, 1 Junior Developer assists.</t>
  </si>
  <si>
    <t>- **Objective**: Identify and mitigate potential security vulnerabilities.
- **Tasks**:
  - Conduct a security review of the codebase.
  - Implement best practices for data handling and storage.
  - Test for common vulnerabilities (e.g., SQL injection, XSS).
- **Team**: Senior Developer leads, all developers participate in testing.</t>
  </si>
  <si>
    <t>- **Objective**: Organize and consolidate code in a version control system.
- **Tasks**:
  - Set up Git repository.
  - Ensure proper branching strategy (feature branches, main branch).
  - Document code and commit changes.
- **Team**: All developers.</t>
  </si>
  <si>
    <t>- **Objective**: Review and evaluate implemented features.
- **Tasks**:
  - Conduct code reviews.
  - Test functionalities against requirements.
  - Gather feedback from team members.
- **Team**: All developers.</t>
  </si>
  <si>
    <t>- **Objective**: Gather feedback from potential users.
- **Tasks**:
  - Conduct user testing sessions.
  - Collect feedback on usability and functionality.
  - Document user suggestions and issues.
- **Team**: All developers.</t>
  </si>
  <si>
    <t>- **Objective**: Address feedback and improve the application.
- **Tasks**:
  - Prioritize user feedback and issues.
  - Implement necessary changes and enhancements.
  - Conduct additional testing to ensure improvements.
- **Team**: All developers.</t>
  </si>
  <si>
    <t>- **Objective**: Ensure the application is stable and bug-free.
- **Tasks**:
  - Perform unit testing and integration testing.
  - Conduct user acceptance testing (UAT).
  - Document and fix any identified bugs.
- **Team**: All developers.</t>
  </si>
  <si>
    <t>- **Objective**: Create comprehensive documentation for users and developers.
- **Tasks**:
  - Write user manuals and installation guides.
  - Create API documentation if applicable.
  - Develop training materials for end-users.
- **Team**: 1 Junior Developer (documentation), Senior Developer (review).</t>
  </si>
  <si>
    <t>- **Objective**: Prepare the application for deployment to production environments.
- **Tasks**:
  - Set up deployment scripts and configurations.
  - Test the deployment process in a staging environment.
  - Ensure all dependencies are documented and included.
- **Team**: Senior Developer leads, 1 Junior Developer assists.</t>
  </si>
  <si>
    <t xml:space="preserve">Deployment </t>
  </si>
  <si>
    <t>- **Objective**: Launch the application to production.
- **Tasks**:
  - Execute the deployment plan.
  - Monitor the deployment process for issues.
  - Ensure the application is accessible to users.
- **Team**: All developers.</t>
  </si>
  <si>
    <t xml:space="preserve">
- **Objective**: Provide support and address issues after the application is live.
- **Tasks**:
  - Monitor application performance and user feedback.
  - Address any critical bugs or issues that arise.
  - Plan for future updates and feature enhancements based on user feedback.
- **Team**: All developers.</t>
  </si>
  <si>
    <t>Team</t>
  </si>
  <si>
    <t>**Team**: All developers (1 Senior, 3 Junior)</t>
  </si>
  <si>
    <t>**Team**: Senior Developer leads, Junior Developers assist.</t>
  </si>
  <si>
    <t>**Team**: 1 Junior Developer (research and documentation), Senior Developer (oversight).</t>
  </si>
  <si>
    <t>**Team**: 1 Junior Developer (design and iteration), Senior Developer (review).</t>
  </si>
  <si>
    <t>**Team**: 2 Junior Developers (1 focused on layout, 1 on styling), Senior Developer reviews.</t>
  </si>
  <si>
    <t>**Team**: Senior Developer leads, 1 Junior Developer assists.</t>
  </si>
  <si>
    <t>**Team**: 2 Junior Developers (1 focused on UI components, 1 on data integration), Senior Developer oversees.</t>
  </si>
  <si>
    <t>**Team**: Senior Developer leads, all developers participate in testing.</t>
  </si>
  <si>
    <t>**Team**: All developers.</t>
  </si>
  <si>
    <t>**Team**: All developers</t>
  </si>
  <si>
    <t>**Team**: 1 Junior Developer (documentation), Senior Developer (review).</t>
  </si>
  <si>
    <t>Fase de Frontend Programming</t>
  </si>
  <si>
    <t>Fase de Backend Programming</t>
  </si>
  <si>
    <t>Consolidación del repositorio</t>
  </si>
  <si>
    <t>Evaluacion de funcionalidad</t>
  </si>
  <si>
    <t>Periodo para incluir mejoras</t>
  </si>
  <si>
    <t>Subtareas</t>
  </si>
  <si>
    <t>Definir el alcance del proyecto, requerimientos, y roles de los equipos.</t>
  </si>
  <si>
    <t>Crear un diseño de alto nivel para la aplicacion.</t>
  </si>
  <si>
    <t xml:space="preserve">Entender las necesidades y preferencias del usuario para mejorar la usabilidad
</t>
  </si>
  <si>
    <t>Crear prototipos interactivos para vizualizar el flujo de la applicacion</t>
  </si>
  <si>
    <t xml:space="preserve">Diseñar la interfaz grafica de usuario usando PyQt5.
</t>
  </si>
  <si>
    <t>Diseñar la arquitectura backend y el esquema de la base de datos</t>
  </si>
  <si>
    <t>Implementar la funcionalidad del frontend.</t>
  </si>
  <si>
    <t>Implementar funcionalidad de backend.</t>
  </si>
  <si>
    <t>Asegúrese de que la aplicación funcione de manera eficiente y pueda manejar grandes conjuntos de datos.</t>
  </si>
  <si>
    <t>Identificar y mitigar posibles vulnerabilidades de seguridad.</t>
  </si>
  <si>
    <t>Organizar y consolidar el código en un sistema de control de versiones.</t>
  </si>
  <si>
    <t>Revisar y evaluar las funcionalidades implementadas.</t>
  </si>
  <si>
    <t>Recopilar comentarios de usuarios potenciales.</t>
  </si>
  <si>
    <t>Abordar los comentarios y mejorar la aplicación.</t>
  </si>
  <si>
    <t>Asegúrese de que la aplicación sea estable y libre de errores.</t>
  </si>
  <si>
    <t>Cree documentación completa para usuarios y desarrolladores.</t>
  </si>
  <si>
    <t>Preparar la aplicación para su implementación en entornos de producción.</t>
  </si>
  <si>
    <t>Inicie la aplicación en producción.</t>
  </si>
  <si>
    <t>Brindar soporte y abordar problemas después de que la aplicación esté activa.</t>
  </si>
  <si>
    <t>Reunión inicial para discutir los objetivos del proyecto.
Definir los requisitos y especificaciones del usuario.
Asignar roles y responsabilidades.</t>
  </si>
  <si>
    <t>- Realizar encuestas y entrevistas con usuarios potenciales.
- Analizar las aplicaciones existentes para encontrar las mejores prácticas en diseño de UX.
- Crear perfiles de usuario y escenarios.</t>
  </si>
  <si>
    <t>- Utilizar herramientas como Figma o Adobe XD para crear prototipos interactivos.
- Presentar los prototipos a las partes interesadas para obtener su opinión.
- Repetir el diseño según la opinión recibida.</t>
  </si>
  <si>
    <t>- Crear prototipos de interfaz de usuario basados ​​en wireframes.
- Implementar el diseño en Qt Designer.
- Definir estilos y temas.</t>
  </si>
  <si>
    <t>- Definir modelos de datos y relaciones.
- Crear puntos finales de API si es necesario.
- Planificar el almacenamiento de datos (p. ej., SQLite, JSON).</t>
  </si>
  <si>
    <t>- Desarrollar componentes de interfaz de usuario y conectar señales/slots.
- Implementar interacciones de usuario y visualización de datos.
- Integrar con servicios backend.</t>
  </si>
  <si>
    <t>-Desarrollar modelos de datos y lógica de negocio.
- Implementar puntos finales de API y gestión de datos.
- Garantizar la validación de datos y la gestión de errores.</t>
  </si>
  <si>
    <t>-Perfilar la aplicación para identificar cuellos de botella en el rendimiento.
- Optimizar los procesos de carga y renderizado de datos.
- Implementar estrategias de almacenamiento en caché cuando corresponda.</t>
  </si>
  <si>
    <t>- Realizar una revisión de seguridad del código base.
- Implementar las mejores prácticas para el manejo y almacenamiento de datos.
- Realizar pruebas para detectar vulnerabilidades comunes (p. ej., inyección SQL, XSS).</t>
  </si>
  <si>
    <t>-Configurar el repositorio de Git.
- Asegurar una estrategia de ramificación adecuada (ramas funcionales, rama principal).
- Documentar el código y confirmar los cambios.</t>
  </si>
  <si>
    <t>-Realizar revisiones de código.
- Probar las funcionalidades según los requisitos.
- Recopilar comentarios de los miembros del equipo.</t>
  </si>
  <si>
    <t>-Realizar sesiones de pruebas con usuarios.
- Recopilar comentarios sobre usabilidad y funcionalidad.
- Documentar las sugerencias y problemas de los usuarios.</t>
  </si>
  <si>
    <t>-Prioritize user feedback and issues.
  - Implement necessary changes and enhancements.
  - Conduct additional testing to ensure improvements.</t>
  </si>
  <si>
    <t>-Realizar pruebas unitarias y de integración.
- Realizar pruebas de aceptación del usuario (UAT).
- Documentar y corregir cualquier error identificado.</t>
  </si>
  <si>
    <t>-Configurar scripts y configuraciones de implementación.
- Probar el proceso de implementación en un entorno de pruebas.
- Asegurarse de que todas las dependencias estén documentadas e incluidas.</t>
  </si>
  <si>
    <t>-Ejecutar el plan de implementación.
- Supervisar el proceso de implementación para detectar problemas.
- Asegurarse de que la aplicación sea accesible para los usuarios.</t>
  </si>
  <si>
    <t>-Supervisar el rendimiento de la aplicación y los comentarios de los usuarios.
- Solucionar cualquier error o problema crítico que surja.
- Planificar futuras actualizaciones y mejoras de funciones según los comentarios de los usuarios.</t>
  </si>
  <si>
    <t>- Describir las principales características y funcionalidades.
- Crear wireframes para la interfaz de usuario. (opcion usar : https://wireframe.cc/)
- Definir la arquitectura (MVC, MVVM, etc.).</t>
  </si>
  <si>
    <t>Priorizar los comentarios y problemas de los usuarios.
Implementar los cambios y mejoras necesarios.
Realizar pruebas adicionales para garantizar las mejoras.</t>
  </si>
  <si>
    <t>Documentacion</t>
  </si>
  <si>
    <t>All developers (1 Senior, 3 Junior)</t>
  </si>
  <si>
    <t>Senior Developer leads, Junior Developers assist.</t>
  </si>
  <si>
    <t xml:space="preserve"> 1 Junior Developer (research and documentation), Senior Developer (oversight).</t>
  </si>
  <si>
    <t>1 Junior Developer (design and iteration), Senior Developer (review).</t>
  </si>
  <si>
    <t xml:space="preserve"> 2 Junior Developers (1 focused on layout, 1 on styling), Senior Developer reviews.</t>
  </si>
  <si>
    <t>Senior Developer leads, 1 Junior Developer assists.</t>
  </si>
  <si>
    <t>2 Junior Developers (1 focused on UI components, 1 on data integration), Senior Developer oversees.</t>
  </si>
  <si>
    <t>Senior Developer leads, all developers participate in testing.</t>
  </si>
  <si>
    <t>All developers.</t>
  </si>
  <si>
    <t>All developers</t>
  </si>
  <si>
    <t>1 Junior Developer (documentation), Senior Developer (review).</t>
  </si>
  <si>
    <t>Objetivo</t>
  </si>
  <si>
    <t>Tarea</t>
  </si>
  <si>
    <t>Equipo</t>
  </si>
  <si>
    <t>x</t>
  </si>
  <si>
    <t>Duration (semanas)</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</si>
</sst>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u/>
      <sz val="11"/>
      <color theme="1"/>
      <name val="Calibri"/>
      <family val="2"/>
      <scheme val="minor"/>
    </font>
    <font>
      <u/>
      <sz val="14"/>
      <color theme="1"/>
      <name val="Calibri"/>
      <family val="2"/>
      <scheme val="minor"/>
    </font>
    <font>
      <b/>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79998168889431442"/>
        <bgColor indexed="64"/>
      </patternFill>
    </fill>
    <fill>
      <patternFill patternType="solid">
        <fgColor rgb="FF1E81B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0" borderId="0" xfId="0" quotePrefix="1"/>
    <xf numFmtId="0" fontId="1" fillId="0" borderId="0" xfId="0" applyFont="1"/>
    <xf numFmtId="0" fontId="0" fillId="0" borderId="0" xfId="0" quotePrefix="1" applyAlignment="1">
      <alignment wrapText="1"/>
    </xf>
    <xf numFmtId="0" fontId="0" fillId="0" borderId="0" xfId="0" quotePrefix="1" applyAlignment="1">
      <alignment horizontal="left" vertical="center" wrapText="1"/>
    </xf>
    <xf numFmtId="0" fontId="0" fillId="0" borderId="0" xfId="0" quotePrefix="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2" fillId="0" borderId="0" xfId="0" applyFont="1"/>
    <xf numFmtId="0" fontId="0" fillId="0" borderId="1" xfId="0" applyBorder="1" applyAlignment="1">
      <alignment horizontal="center" vertical="center" wrapText="1"/>
    </xf>
    <xf numFmtId="0" fontId="0" fillId="0" borderId="1" xfId="0" quotePrefix="1" applyBorder="1" applyAlignment="1">
      <alignment horizontal="center" vertical="center" wrapText="1"/>
    </xf>
    <xf numFmtId="16" fontId="0" fillId="0" borderId="1" xfId="0" applyNumberFormat="1" applyBorder="1" applyAlignment="1">
      <alignment horizontal="center" vertical="center" wrapText="1"/>
    </xf>
    <xf numFmtId="0" fontId="0" fillId="2" borderId="1" xfId="0" applyFill="1" applyBorder="1" applyAlignment="1">
      <alignment horizontal="center" vertical="center" wrapText="1"/>
    </xf>
    <xf numFmtId="0" fontId="0" fillId="0" borderId="1" xfId="0" quotePrefix="1" applyBorder="1" applyAlignment="1">
      <alignment horizontal="left" vertical="center" wrapText="1"/>
    </xf>
    <xf numFmtId="0" fontId="0" fillId="0" borderId="1" xfId="0" applyBorder="1" applyAlignment="1">
      <alignment horizontal="left" vertical="center" wrapText="1"/>
    </xf>
    <xf numFmtId="14" fontId="0" fillId="0" borderId="1" xfId="0" applyNumberFormat="1" applyBorder="1" applyAlignment="1">
      <alignment textRotation="90"/>
    </xf>
    <xf numFmtId="0" fontId="3" fillId="0" borderId="1" xfId="0" applyFont="1" applyFill="1" applyBorder="1" applyAlignment="1">
      <alignment horizontal="center" vertical="center"/>
    </xf>
    <xf numFmtId="14" fontId="0" fillId="0" borderId="1" xfId="0" applyNumberFormat="1" applyFill="1" applyBorder="1" applyAlignment="1">
      <alignment textRotation="90"/>
    </xf>
    <xf numFmtId="0" fontId="0" fillId="0" borderId="1" xfId="0" applyFill="1" applyBorder="1"/>
    <xf numFmtId="0" fontId="0" fillId="3" borderId="1" xfId="0" applyFill="1" applyBorder="1"/>
    <xf numFmtId="0" fontId="0" fillId="0" borderId="0" xfId="0" applyAlignment="1">
      <alignment horizontal="left" vertical="center" wrapText="1"/>
    </xf>
  </cellXfs>
  <cellStyles count="1">
    <cellStyle name="Normal" xfId="0" builtinId="0"/>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390525</xdr:colOff>
          <xdr:row>0</xdr:row>
          <xdr:rowOff>161925</xdr:rowOff>
        </xdr:from>
        <xdr:to>
          <xdr:col>7</xdr:col>
          <xdr:colOff>771525</xdr:colOff>
          <xdr:row>1</xdr:row>
          <xdr:rowOff>209550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ea typeface="Calibri"/>
                  <a:cs typeface="Calibri"/>
                </a:rPr>
                <a:t>-&gt;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15"/>
  <sheetViews>
    <sheetView workbookViewId="0">
      <selection activeCell="H4" sqref="H4"/>
    </sheetView>
  </sheetViews>
  <sheetFormatPr baseColWidth="10" defaultRowHeight="15" x14ac:dyDescent="0.25"/>
  <sheetData>
    <row r="1" spans="1:9" ht="48.6" customHeight="1" x14ac:dyDescent="0.25">
      <c r="A1" s="22" t="s">
        <v>29</v>
      </c>
      <c r="B1" s="22"/>
      <c r="C1" s="22"/>
      <c r="D1" s="22"/>
      <c r="E1" s="22"/>
      <c r="F1" s="22"/>
      <c r="G1" s="22"/>
      <c r="H1" s="22"/>
      <c r="I1" s="22"/>
    </row>
    <row r="3" spans="1:9" ht="14.45" x14ac:dyDescent="0.3">
      <c r="A3" t="s">
        <v>0</v>
      </c>
      <c r="B3" t="s">
        <v>4</v>
      </c>
      <c r="C3" t="s">
        <v>1</v>
      </c>
      <c r="D3" t="s">
        <v>2</v>
      </c>
      <c r="E3" t="s">
        <v>3</v>
      </c>
    </row>
    <row r="4" spans="1:9" ht="14.45" x14ac:dyDescent="0.3">
      <c r="A4" s="1" t="s">
        <v>5</v>
      </c>
      <c r="B4" t="s">
        <v>9</v>
      </c>
    </row>
    <row r="5" spans="1:9" x14ac:dyDescent="0.25">
      <c r="A5" s="1" t="s">
        <v>6</v>
      </c>
      <c r="B5" t="s">
        <v>10</v>
      </c>
    </row>
    <row r="6" spans="1:9" x14ac:dyDescent="0.25">
      <c r="A6" s="1" t="s">
        <v>7</v>
      </c>
      <c r="B6" t="s">
        <v>11</v>
      </c>
    </row>
    <row r="7" spans="1:9" x14ac:dyDescent="0.25">
      <c r="A7" s="1" t="s">
        <v>8</v>
      </c>
      <c r="B7" t="s">
        <v>12</v>
      </c>
    </row>
    <row r="8" spans="1:9" ht="14.45" x14ac:dyDescent="0.3">
      <c r="A8" s="1" t="s">
        <v>21</v>
      </c>
      <c r="B8" t="s">
        <v>13</v>
      </c>
    </row>
    <row r="9" spans="1:9" ht="14.45" x14ac:dyDescent="0.3">
      <c r="A9" s="1" t="s">
        <v>22</v>
      </c>
      <c r="B9" t="s">
        <v>14</v>
      </c>
    </row>
    <row r="10" spans="1:9" ht="14.45" x14ac:dyDescent="0.3">
      <c r="A10" s="1" t="s">
        <v>23</v>
      </c>
      <c r="B10" t="s">
        <v>15</v>
      </c>
    </row>
    <row r="11" spans="1:9" ht="14.45" x14ac:dyDescent="0.3">
      <c r="A11" s="1" t="s">
        <v>24</v>
      </c>
      <c r="B11" t="s">
        <v>16</v>
      </c>
    </row>
    <row r="12" spans="1:9" ht="14.45" x14ac:dyDescent="0.3">
      <c r="A12" s="1" t="s">
        <v>25</v>
      </c>
      <c r="B12" t="s">
        <v>17</v>
      </c>
    </row>
    <row r="13" spans="1:9" ht="14.45" x14ac:dyDescent="0.3">
      <c r="A13" s="1" t="s">
        <v>26</v>
      </c>
      <c r="B13" t="s">
        <v>18</v>
      </c>
    </row>
    <row r="14" spans="1:9" ht="14.45" x14ac:dyDescent="0.3">
      <c r="A14" s="1" t="s">
        <v>27</v>
      </c>
      <c r="B14" t="s">
        <v>19</v>
      </c>
    </row>
    <row r="15" spans="1:9" ht="14.45" x14ac:dyDescent="0.3">
      <c r="A15" s="1" t="s">
        <v>28</v>
      </c>
      <c r="B15" t="s">
        <v>20</v>
      </c>
    </row>
  </sheetData>
  <mergeCells count="1">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G27"/>
  <sheetViews>
    <sheetView topLeftCell="E2" workbookViewId="0">
      <selection activeCell="H4" sqref="H4"/>
    </sheetView>
  </sheetViews>
  <sheetFormatPr baseColWidth="10" defaultRowHeight="15" x14ac:dyDescent="0.25"/>
  <cols>
    <col min="1" max="1" width="4.42578125" customWidth="1"/>
    <col min="2" max="2" width="23.28515625" customWidth="1"/>
    <col min="3" max="4" width="56.85546875" customWidth="1"/>
  </cols>
  <sheetData>
    <row r="2" spans="1:7" ht="14.45" x14ac:dyDescent="0.3">
      <c r="A2" s="2" t="s">
        <v>56</v>
      </c>
    </row>
    <row r="3" spans="1:7" ht="30" x14ac:dyDescent="0.25">
      <c r="A3" s="8" t="s">
        <v>57</v>
      </c>
      <c r="B3" s="8" t="s">
        <v>55</v>
      </c>
      <c r="C3" s="8" t="s">
        <v>58</v>
      </c>
      <c r="D3" s="8" t="s">
        <v>82</v>
      </c>
      <c r="E3" s="8" t="s">
        <v>59</v>
      </c>
      <c r="F3" s="8" t="s">
        <v>60</v>
      </c>
      <c r="G3" s="8" t="s">
        <v>61</v>
      </c>
    </row>
    <row r="4" spans="1:7" ht="100.9" x14ac:dyDescent="0.3">
      <c r="A4" s="5" t="s">
        <v>5</v>
      </c>
      <c r="B4" s="6" t="s">
        <v>30</v>
      </c>
      <c r="C4" s="4" t="s">
        <v>62</v>
      </c>
      <c r="D4" s="4" t="s">
        <v>83</v>
      </c>
      <c r="G4" s="9">
        <v>1</v>
      </c>
    </row>
    <row r="5" spans="1:7" ht="86.45" x14ac:dyDescent="0.3">
      <c r="A5" s="5" t="s">
        <v>6</v>
      </c>
      <c r="B5" s="6" t="s">
        <v>35</v>
      </c>
      <c r="C5" s="3" t="s">
        <v>63</v>
      </c>
      <c r="D5" s="3" t="s">
        <v>84</v>
      </c>
      <c r="G5" s="9">
        <v>1</v>
      </c>
    </row>
    <row r="6" spans="1:7" ht="129.6" x14ac:dyDescent="0.3">
      <c r="A6" s="5" t="s">
        <v>7</v>
      </c>
      <c r="B6" s="6" t="s">
        <v>36</v>
      </c>
      <c r="C6" s="3" t="s">
        <v>64</v>
      </c>
      <c r="D6" s="3" t="s">
        <v>85</v>
      </c>
      <c r="G6" s="9">
        <v>1</v>
      </c>
    </row>
    <row r="7" spans="1:7" ht="115.15" x14ac:dyDescent="0.3">
      <c r="A7" s="5" t="s">
        <v>8</v>
      </c>
      <c r="B7" s="6" t="s">
        <v>37</v>
      </c>
      <c r="C7" s="3" t="s">
        <v>65</v>
      </c>
      <c r="D7" s="3" t="s">
        <v>86</v>
      </c>
      <c r="G7" s="9">
        <v>1</v>
      </c>
    </row>
    <row r="8" spans="1:7" ht="100.9" x14ac:dyDescent="0.3">
      <c r="A8" s="5" t="s">
        <v>21</v>
      </c>
      <c r="B8" s="6" t="s">
        <v>45</v>
      </c>
      <c r="C8" s="3" t="s">
        <v>66</v>
      </c>
      <c r="D8" s="3" t="s">
        <v>87</v>
      </c>
      <c r="G8" s="9">
        <v>2</v>
      </c>
    </row>
    <row r="9" spans="1:7" ht="100.9" x14ac:dyDescent="0.3">
      <c r="A9" s="5" t="s">
        <v>22</v>
      </c>
      <c r="B9" s="6" t="s">
        <v>31</v>
      </c>
      <c r="C9" s="3" t="s">
        <v>67</v>
      </c>
      <c r="D9" s="3" t="s">
        <v>88</v>
      </c>
      <c r="G9" s="9">
        <v>2</v>
      </c>
    </row>
    <row r="10" spans="1:7" ht="120" x14ac:dyDescent="0.25">
      <c r="A10" s="5" t="s">
        <v>23</v>
      </c>
      <c r="B10" s="6" t="s">
        <v>46</v>
      </c>
      <c r="C10" s="3" t="s">
        <v>68</v>
      </c>
      <c r="D10" s="3" t="s">
        <v>89</v>
      </c>
      <c r="G10" s="9">
        <v>3</v>
      </c>
    </row>
    <row r="11" spans="1:7" ht="105" x14ac:dyDescent="0.25">
      <c r="A11" s="5" t="s">
        <v>24</v>
      </c>
      <c r="B11" s="6" t="s">
        <v>47</v>
      </c>
      <c r="C11" s="3" t="s">
        <v>69</v>
      </c>
      <c r="D11" s="3" t="s">
        <v>88</v>
      </c>
      <c r="G11" s="9">
        <v>3</v>
      </c>
    </row>
    <row r="12" spans="1:7" ht="120" x14ac:dyDescent="0.25">
      <c r="A12" s="5" t="s">
        <v>25</v>
      </c>
      <c r="B12" s="6" t="s">
        <v>48</v>
      </c>
      <c r="C12" s="3" t="s">
        <v>70</v>
      </c>
      <c r="D12" s="3" t="s">
        <v>88</v>
      </c>
      <c r="G12" s="9">
        <v>2</v>
      </c>
    </row>
    <row r="13" spans="1:7" ht="120" x14ac:dyDescent="0.25">
      <c r="A13" s="5" t="s">
        <v>26</v>
      </c>
      <c r="B13" s="6" t="s">
        <v>49</v>
      </c>
      <c r="C13" s="3" t="s">
        <v>71</v>
      </c>
      <c r="D13" s="3" t="s">
        <v>90</v>
      </c>
      <c r="G13" s="9">
        <v>1</v>
      </c>
    </row>
    <row r="14" spans="1:7" ht="120" x14ac:dyDescent="0.25">
      <c r="A14" s="5" t="s">
        <v>27</v>
      </c>
      <c r="B14" s="6" t="s">
        <v>32</v>
      </c>
      <c r="C14" s="3" t="s">
        <v>72</v>
      </c>
      <c r="D14" s="3" t="s">
        <v>91</v>
      </c>
      <c r="G14" s="9">
        <v>1</v>
      </c>
    </row>
    <row r="15" spans="1:7" ht="90" x14ac:dyDescent="0.25">
      <c r="A15" s="5" t="s">
        <v>28</v>
      </c>
      <c r="B15" s="6" t="s">
        <v>33</v>
      </c>
      <c r="C15" s="3" t="s">
        <v>73</v>
      </c>
      <c r="D15" s="3" t="s">
        <v>92</v>
      </c>
      <c r="G15" s="9">
        <v>1</v>
      </c>
    </row>
    <row r="16" spans="1:7" ht="90" x14ac:dyDescent="0.25">
      <c r="A16" s="5" t="s">
        <v>38</v>
      </c>
      <c r="B16" s="6" t="s">
        <v>50</v>
      </c>
      <c r="C16" s="3" t="s">
        <v>74</v>
      </c>
      <c r="D16" s="3" t="s">
        <v>91</v>
      </c>
      <c r="G16" s="9">
        <v>1</v>
      </c>
    </row>
    <row r="17" spans="1:7" ht="105" x14ac:dyDescent="0.25">
      <c r="A17" s="5" t="s">
        <v>39</v>
      </c>
      <c r="B17" s="6" t="s">
        <v>34</v>
      </c>
      <c r="C17" s="3" t="s">
        <v>75</v>
      </c>
      <c r="D17" s="3" t="s">
        <v>91</v>
      </c>
      <c r="G17" s="9">
        <v>2</v>
      </c>
    </row>
    <row r="18" spans="1:7" ht="90" x14ac:dyDescent="0.25">
      <c r="A18" s="5" t="s">
        <v>40</v>
      </c>
      <c r="B18" s="6" t="s">
        <v>51</v>
      </c>
      <c r="C18" s="3" t="s">
        <v>76</v>
      </c>
      <c r="D18" s="3" t="s">
        <v>91</v>
      </c>
      <c r="G18" s="9">
        <v>2</v>
      </c>
    </row>
    <row r="19" spans="1:7" ht="120" x14ac:dyDescent="0.25">
      <c r="A19" s="5" t="s">
        <v>41</v>
      </c>
      <c r="B19" s="6" t="s">
        <v>52</v>
      </c>
      <c r="C19" s="3" t="s">
        <v>77</v>
      </c>
      <c r="D19" s="3" t="s">
        <v>93</v>
      </c>
      <c r="G19" s="9">
        <v>1</v>
      </c>
    </row>
    <row r="20" spans="1:7" ht="120" x14ac:dyDescent="0.25">
      <c r="A20" s="5" t="s">
        <v>42</v>
      </c>
      <c r="B20" s="6" t="s">
        <v>53</v>
      </c>
      <c r="C20" s="3" t="s">
        <v>78</v>
      </c>
      <c r="D20" s="3" t="s">
        <v>88</v>
      </c>
      <c r="G20" s="9">
        <v>1</v>
      </c>
    </row>
    <row r="21" spans="1:7" ht="90" x14ac:dyDescent="0.25">
      <c r="A21" s="5" t="s">
        <v>43</v>
      </c>
      <c r="B21" s="7" t="s">
        <v>79</v>
      </c>
      <c r="C21" s="3" t="s">
        <v>80</v>
      </c>
      <c r="D21" s="3" t="s">
        <v>91</v>
      </c>
      <c r="G21" s="9">
        <v>1</v>
      </c>
    </row>
    <row r="22" spans="1:7" ht="135" x14ac:dyDescent="0.25">
      <c r="A22" s="5" t="s">
        <v>44</v>
      </c>
      <c r="B22" s="6" t="s">
        <v>54</v>
      </c>
      <c r="C22" s="3" t="s">
        <v>81</v>
      </c>
      <c r="D22" s="3" t="s">
        <v>91</v>
      </c>
      <c r="G22" s="9">
        <v>2</v>
      </c>
    </row>
    <row r="23" spans="1:7" x14ac:dyDescent="0.25">
      <c r="A23" s="1"/>
    </row>
    <row r="24" spans="1:7" x14ac:dyDescent="0.25">
      <c r="A24" s="1"/>
    </row>
    <row r="25" spans="1:7" x14ac:dyDescent="0.25">
      <c r="A25" s="1"/>
    </row>
    <row r="26" spans="1:7" x14ac:dyDescent="0.25">
      <c r="A26" s="1"/>
    </row>
    <row r="27" spans="1:7" x14ac:dyDescent="0.25">
      <c r="A27" s="1"/>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AL27"/>
  <sheetViews>
    <sheetView zoomScaleNormal="100" workbookViewId="0">
      <selection activeCell="I4" sqref="I4"/>
    </sheetView>
  </sheetViews>
  <sheetFormatPr baseColWidth="10" defaultRowHeight="15" x14ac:dyDescent="0.25"/>
  <cols>
    <col min="1" max="1" width="4.42578125" customWidth="1"/>
    <col min="2" max="2" width="14.140625" customWidth="1"/>
    <col min="3" max="3" width="21.28515625" customWidth="1"/>
    <col min="4" max="4" width="34.28515625" customWidth="1"/>
    <col min="5" max="5" width="17" customWidth="1"/>
    <col min="9" max="9" width="3.5703125" customWidth="1"/>
    <col min="10" max="38" width="3.5703125" bestFit="1" customWidth="1"/>
  </cols>
  <sheetData>
    <row r="2" spans="1:38" ht="18" x14ac:dyDescent="0.35">
      <c r="A2" s="10" t="s">
        <v>56</v>
      </c>
    </row>
    <row r="3" spans="1:38" ht="65.45" customHeight="1" x14ac:dyDescent="0.25">
      <c r="A3" s="14" t="s">
        <v>57</v>
      </c>
      <c r="B3" s="14" t="s">
        <v>151</v>
      </c>
      <c r="C3" s="14" t="s">
        <v>150</v>
      </c>
      <c r="D3" s="14" t="s">
        <v>99</v>
      </c>
      <c r="E3" s="14" t="s">
        <v>152</v>
      </c>
      <c r="F3" s="14" t="s">
        <v>1</v>
      </c>
      <c r="G3" s="14" t="s">
        <v>2</v>
      </c>
      <c r="H3" s="14" t="s">
        <v>154</v>
      </c>
      <c r="I3" s="17">
        <v>45748</v>
      </c>
      <c r="J3" s="17">
        <f>I3+7</f>
        <v>45755</v>
      </c>
      <c r="K3" s="17">
        <f t="shared" ref="K3:AL3" si="0">J3+7</f>
        <v>45762</v>
      </c>
      <c r="L3" s="17">
        <f t="shared" si="0"/>
        <v>45769</v>
      </c>
      <c r="M3" s="17">
        <f t="shared" si="0"/>
        <v>45776</v>
      </c>
      <c r="N3" s="17">
        <f t="shared" si="0"/>
        <v>45783</v>
      </c>
      <c r="O3" s="17">
        <f t="shared" si="0"/>
        <v>45790</v>
      </c>
      <c r="P3" s="17">
        <f t="shared" si="0"/>
        <v>45797</v>
      </c>
      <c r="Q3" s="17">
        <f t="shared" si="0"/>
        <v>45804</v>
      </c>
      <c r="R3" s="17">
        <f t="shared" si="0"/>
        <v>45811</v>
      </c>
      <c r="S3" s="17">
        <f t="shared" si="0"/>
        <v>45818</v>
      </c>
      <c r="T3" s="17">
        <f t="shared" si="0"/>
        <v>45825</v>
      </c>
      <c r="U3" s="17">
        <f t="shared" si="0"/>
        <v>45832</v>
      </c>
      <c r="V3" s="17">
        <f t="shared" si="0"/>
        <v>45839</v>
      </c>
      <c r="W3" s="17">
        <f t="shared" si="0"/>
        <v>45846</v>
      </c>
      <c r="X3" s="17">
        <f t="shared" si="0"/>
        <v>45853</v>
      </c>
      <c r="Y3" s="17">
        <f t="shared" si="0"/>
        <v>45860</v>
      </c>
      <c r="Z3" s="17">
        <f t="shared" si="0"/>
        <v>45867</v>
      </c>
      <c r="AA3" s="17">
        <f t="shared" si="0"/>
        <v>45874</v>
      </c>
      <c r="AB3" s="17">
        <f t="shared" si="0"/>
        <v>45881</v>
      </c>
      <c r="AC3" s="17">
        <f t="shared" si="0"/>
        <v>45888</v>
      </c>
      <c r="AD3" s="17">
        <f t="shared" si="0"/>
        <v>45895</v>
      </c>
      <c r="AE3" s="17">
        <f t="shared" si="0"/>
        <v>45902</v>
      </c>
      <c r="AF3" s="17">
        <f t="shared" si="0"/>
        <v>45909</v>
      </c>
      <c r="AG3" s="17">
        <f t="shared" si="0"/>
        <v>45916</v>
      </c>
      <c r="AH3" s="17">
        <f t="shared" si="0"/>
        <v>45923</v>
      </c>
      <c r="AI3" s="17">
        <f t="shared" si="0"/>
        <v>45930</v>
      </c>
      <c r="AJ3" s="17">
        <f t="shared" si="0"/>
        <v>45937</v>
      </c>
      <c r="AK3" s="17">
        <f t="shared" si="0"/>
        <v>45944</v>
      </c>
      <c r="AL3" s="17">
        <f t="shared" si="0"/>
        <v>45951</v>
      </c>
    </row>
    <row r="4" spans="1:38" ht="75" x14ac:dyDescent="0.25">
      <c r="A4" s="12" t="s">
        <v>5</v>
      </c>
      <c r="B4" s="16" t="s">
        <v>9</v>
      </c>
      <c r="C4" s="15" t="s">
        <v>100</v>
      </c>
      <c r="D4" s="15" t="s">
        <v>119</v>
      </c>
      <c r="E4" s="15" t="s">
        <v>139</v>
      </c>
      <c r="F4" s="13">
        <v>45748</v>
      </c>
      <c r="G4" s="13">
        <v>45755</v>
      </c>
      <c r="H4" s="11">
        <v>1</v>
      </c>
      <c r="I4" s="18" t="s">
        <v>153</v>
      </c>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row>
    <row r="5" spans="1:38" ht="105" x14ac:dyDescent="0.25">
      <c r="A5" s="12" t="s">
        <v>6</v>
      </c>
      <c r="B5" s="16" t="s">
        <v>10</v>
      </c>
      <c r="C5" s="15" t="s">
        <v>101</v>
      </c>
      <c r="D5" s="15" t="s">
        <v>136</v>
      </c>
      <c r="E5" s="15" t="s">
        <v>140</v>
      </c>
      <c r="F5" s="13">
        <f>G4</f>
        <v>45755</v>
      </c>
      <c r="G5" s="13">
        <f>F5+7*H5</f>
        <v>45762</v>
      </c>
      <c r="H5" s="11">
        <v>1</v>
      </c>
      <c r="I5" s="18"/>
      <c r="J5" s="18" t="s">
        <v>153</v>
      </c>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row>
    <row r="6" spans="1:38" ht="105" x14ac:dyDescent="0.25">
      <c r="A6" s="12" t="s">
        <v>7</v>
      </c>
      <c r="B6" s="16" t="s">
        <v>36</v>
      </c>
      <c r="C6" s="15" t="s">
        <v>102</v>
      </c>
      <c r="D6" s="15" t="s">
        <v>120</v>
      </c>
      <c r="E6" s="15" t="s">
        <v>141</v>
      </c>
      <c r="F6" s="13">
        <f>G5</f>
        <v>45762</v>
      </c>
      <c r="G6" s="13">
        <f>F6+7*H6</f>
        <v>45769</v>
      </c>
      <c r="H6" s="11">
        <v>1</v>
      </c>
      <c r="I6" s="18"/>
      <c r="J6" s="18"/>
      <c r="K6" s="18" t="s">
        <v>153</v>
      </c>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row>
    <row r="7" spans="1:38" ht="105" x14ac:dyDescent="0.25">
      <c r="A7" s="12" t="s">
        <v>8</v>
      </c>
      <c r="B7" s="16" t="s">
        <v>37</v>
      </c>
      <c r="C7" s="15" t="s">
        <v>103</v>
      </c>
      <c r="D7" s="15" t="s">
        <v>121</v>
      </c>
      <c r="E7" s="15" t="s">
        <v>142</v>
      </c>
      <c r="F7" s="13">
        <f t="shared" ref="F7:F22" si="1">G6</f>
        <v>45769</v>
      </c>
      <c r="G7" s="13">
        <f t="shared" ref="G7:G22" si="2">F7+7*H7</f>
        <v>45776</v>
      </c>
      <c r="H7" s="11">
        <v>1</v>
      </c>
      <c r="I7" s="18"/>
      <c r="J7" s="18"/>
      <c r="K7" s="18"/>
      <c r="L7" s="18" t="s">
        <v>153</v>
      </c>
      <c r="M7" s="18"/>
      <c r="N7" s="18"/>
      <c r="O7" s="18"/>
      <c r="P7" s="18"/>
      <c r="Q7" s="18"/>
      <c r="R7" s="18"/>
      <c r="S7" s="18"/>
      <c r="T7" s="18"/>
      <c r="U7" s="18"/>
      <c r="V7" s="18"/>
      <c r="W7" s="18"/>
      <c r="X7" s="18"/>
      <c r="Y7" s="18"/>
      <c r="Z7" s="18"/>
      <c r="AA7" s="18"/>
      <c r="AB7" s="18"/>
      <c r="AC7" s="18"/>
      <c r="AD7" s="18"/>
      <c r="AE7" s="18"/>
      <c r="AF7" s="18"/>
      <c r="AG7" s="18"/>
      <c r="AH7" s="18"/>
      <c r="AI7" s="18"/>
      <c r="AJ7" s="18"/>
      <c r="AK7" s="18"/>
      <c r="AL7" s="18"/>
    </row>
    <row r="8" spans="1:38" ht="105" x14ac:dyDescent="0.25">
      <c r="A8" s="12" t="s">
        <v>21</v>
      </c>
      <c r="B8" s="16" t="s">
        <v>45</v>
      </c>
      <c r="C8" s="15" t="s">
        <v>104</v>
      </c>
      <c r="D8" s="15" t="s">
        <v>122</v>
      </c>
      <c r="E8" s="15" t="s">
        <v>143</v>
      </c>
      <c r="F8" s="13">
        <f t="shared" si="1"/>
        <v>45776</v>
      </c>
      <c r="G8" s="13">
        <f t="shared" si="2"/>
        <v>45790</v>
      </c>
      <c r="H8" s="11">
        <v>2</v>
      </c>
      <c r="I8" s="18"/>
      <c r="J8" s="18"/>
      <c r="K8" s="18"/>
      <c r="L8" s="18"/>
      <c r="M8" s="18" t="s">
        <v>153</v>
      </c>
      <c r="N8" s="18" t="s">
        <v>153</v>
      </c>
      <c r="O8" s="18"/>
      <c r="P8" s="18"/>
      <c r="Q8" s="18"/>
      <c r="R8" s="18"/>
      <c r="S8" s="18"/>
      <c r="T8" s="18"/>
      <c r="U8" s="18"/>
      <c r="V8" s="18"/>
      <c r="W8" s="18"/>
      <c r="X8" s="18"/>
      <c r="Y8" s="18"/>
      <c r="Z8" s="18"/>
      <c r="AA8" s="18"/>
      <c r="AB8" s="18"/>
      <c r="AC8" s="18"/>
      <c r="AD8" s="18"/>
      <c r="AE8" s="18"/>
      <c r="AF8" s="18"/>
      <c r="AG8" s="18"/>
      <c r="AH8" s="18"/>
      <c r="AI8" s="18"/>
      <c r="AJ8" s="18"/>
      <c r="AK8" s="18"/>
      <c r="AL8" s="18"/>
    </row>
    <row r="9" spans="1:38" ht="90" x14ac:dyDescent="0.25">
      <c r="A9" s="12" t="s">
        <v>22</v>
      </c>
      <c r="B9" s="16" t="s">
        <v>31</v>
      </c>
      <c r="C9" s="15" t="s">
        <v>105</v>
      </c>
      <c r="D9" s="15" t="s">
        <v>123</v>
      </c>
      <c r="E9" s="15" t="s">
        <v>144</v>
      </c>
      <c r="F9" s="13">
        <f t="shared" si="1"/>
        <v>45790</v>
      </c>
      <c r="G9" s="13">
        <f t="shared" si="2"/>
        <v>45804</v>
      </c>
      <c r="H9" s="11">
        <v>2</v>
      </c>
      <c r="I9" s="18"/>
      <c r="J9" s="18"/>
      <c r="K9" s="18"/>
      <c r="L9" s="18"/>
      <c r="M9" s="18"/>
      <c r="N9" s="18"/>
      <c r="O9" s="18" t="s">
        <v>153</v>
      </c>
      <c r="P9" s="18" t="s">
        <v>153</v>
      </c>
      <c r="Q9" s="18"/>
      <c r="R9" s="18"/>
      <c r="S9" s="18"/>
      <c r="T9" s="18"/>
      <c r="U9" s="18"/>
      <c r="V9" s="18"/>
      <c r="W9" s="18"/>
      <c r="X9" s="18"/>
      <c r="Y9" s="18"/>
      <c r="Z9" s="18"/>
      <c r="AA9" s="18"/>
      <c r="AB9" s="18"/>
      <c r="AC9" s="18"/>
      <c r="AD9" s="18"/>
      <c r="AE9" s="18"/>
      <c r="AF9" s="18"/>
      <c r="AG9" s="18"/>
      <c r="AH9" s="18"/>
      <c r="AI9" s="18"/>
      <c r="AJ9" s="18"/>
      <c r="AK9" s="18"/>
      <c r="AL9" s="18"/>
    </row>
    <row r="10" spans="1:38" ht="105" x14ac:dyDescent="0.25">
      <c r="A10" s="12" t="s">
        <v>23</v>
      </c>
      <c r="B10" s="16" t="s">
        <v>94</v>
      </c>
      <c r="C10" s="15" t="s">
        <v>106</v>
      </c>
      <c r="D10" s="15" t="s">
        <v>124</v>
      </c>
      <c r="E10" s="15" t="s">
        <v>145</v>
      </c>
      <c r="F10" s="13">
        <f t="shared" si="1"/>
        <v>45804</v>
      </c>
      <c r="G10" s="13">
        <f t="shared" si="2"/>
        <v>45825</v>
      </c>
      <c r="H10" s="11">
        <v>3</v>
      </c>
      <c r="I10" s="18"/>
      <c r="J10" s="18"/>
      <c r="K10" s="18"/>
      <c r="L10" s="18"/>
      <c r="M10" s="18"/>
      <c r="N10" s="18"/>
      <c r="O10" s="18"/>
      <c r="P10" s="18"/>
      <c r="Q10" s="18" t="s">
        <v>153</v>
      </c>
      <c r="R10" s="18" t="s">
        <v>153</v>
      </c>
      <c r="S10" s="18" t="s">
        <v>153</v>
      </c>
      <c r="T10" s="18"/>
      <c r="U10" s="18"/>
      <c r="V10" s="18"/>
      <c r="W10" s="18"/>
      <c r="X10" s="18"/>
      <c r="Y10" s="18"/>
      <c r="Z10" s="18"/>
      <c r="AA10" s="18"/>
      <c r="AB10" s="18"/>
      <c r="AC10" s="18"/>
      <c r="AD10" s="18"/>
      <c r="AE10" s="18"/>
      <c r="AF10" s="18"/>
      <c r="AG10" s="18"/>
      <c r="AH10" s="18"/>
      <c r="AI10" s="18"/>
      <c r="AJ10" s="18"/>
      <c r="AK10" s="18"/>
      <c r="AL10" s="18"/>
    </row>
    <row r="11" spans="1:38" ht="90" x14ac:dyDescent="0.25">
      <c r="A11" s="12" t="s">
        <v>24</v>
      </c>
      <c r="B11" s="16" t="s">
        <v>95</v>
      </c>
      <c r="C11" s="15" t="s">
        <v>107</v>
      </c>
      <c r="D11" s="15" t="s">
        <v>125</v>
      </c>
      <c r="E11" s="15" t="s">
        <v>144</v>
      </c>
      <c r="F11" s="13">
        <f t="shared" si="1"/>
        <v>45825</v>
      </c>
      <c r="G11" s="13">
        <f t="shared" si="2"/>
        <v>45846</v>
      </c>
      <c r="H11" s="11">
        <v>3</v>
      </c>
      <c r="I11" s="18"/>
      <c r="J11" s="18"/>
      <c r="K11" s="18"/>
      <c r="L11" s="18"/>
      <c r="M11" s="18"/>
      <c r="N11" s="18"/>
      <c r="O11" s="18"/>
      <c r="P11" s="18"/>
      <c r="Q11" s="18"/>
      <c r="R11" s="18"/>
      <c r="S11" s="18"/>
      <c r="T11" s="18" t="s">
        <v>153</v>
      </c>
      <c r="U11" s="18" t="s">
        <v>153</v>
      </c>
      <c r="V11" s="18" t="s">
        <v>153</v>
      </c>
      <c r="W11" s="18"/>
      <c r="X11" s="18"/>
      <c r="Y11" s="18"/>
      <c r="Z11" s="18"/>
      <c r="AA11" s="18"/>
      <c r="AB11" s="18"/>
      <c r="AC11" s="18"/>
      <c r="AD11" s="18"/>
      <c r="AE11" s="18"/>
      <c r="AF11" s="18"/>
      <c r="AG11" s="18"/>
      <c r="AH11" s="18"/>
      <c r="AI11" s="18"/>
      <c r="AJ11" s="18"/>
      <c r="AK11" s="18"/>
      <c r="AL11" s="18"/>
    </row>
    <row r="12" spans="1:38" ht="105" x14ac:dyDescent="0.25">
      <c r="A12" s="12" t="s">
        <v>25</v>
      </c>
      <c r="B12" s="16" t="s">
        <v>48</v>
      </c>
      <c r="C12" s="15" t="s">
        <v>108</v>
      </c>
      <c r="D12" s="15" t="s">
        <v>126</v>
      </c>
      <c r="E12" s="15" t="s">
        <v>144</v>
      </c>
      <c r="F12" s="13">
        <f t="shared" si="1"/>
        <v>45846</v>
      </c>
      <c r="G12" s="13">
        <f t="shared" si="2"/>
        <v>45860</v>
      </c>
      <c r="H12" s="11">
        <v>2</v>
      </c>
      <c r="I12" s="18"/>
      <c r="J12" s="18"/>
      <c r="K12" s="18"/>
      <c r="L12" s="18"/>
      <c r="M12" s="18"/>
      <c r="N12" s="18"/>
      <c r="O12" s="18"/>
      <c r="P12" s="18"/>
      <c r="Q12" s="18"/>
      <c r="R12" s="18"/>
      <c r="S12" s="18"/>
      <c r="T12" s="18"/>
      <c r="U12" s="18"/>
      <c r="V12" s="18"/>
      <c r="W12" s="18" t="s">
        <v>153</v>
      </c>
      <c r="X12" s="18" t="s">
        <v>153</v>
      </c>
      <c r="Y12" s="18"/>
      <c r="Z12" s="18"/>
      <c r="AA12" s="18"/>
      <c r="AB12" s="18"/>
      <c r="AC12" s="18"/>
      <c r="AD12" s="18"/>
      <c r="AE12" s="18"/>
      <c r="AF12" s="18"/>
      <c r="AG12" s="18"/>
      <c r="AH12" s="18"/>
      <c r="AI12" s="18"/>
      <c r="AJ12" s="18"/>
      <c r="AK12" s="18"/>
      <c r="AL12" s="18"/>
    </row>
    <row r="13" spans="1:38" ht="120" x14ac:dyDescent="0.25">
      <c r="A13" s="12" t="s">
        <v>26</v>
      </c>
      <c r="B13" s="16" t="s">
        <v>49</v>
      </c>
      <c r="C13" s="15" t="s">
        <v>109</v>
      </c>
      <c r="D13" s="15" t="s">
        <v>127</v>
      </c>
      <c r="E13" s="15" t="s">
        <v>146</v>
      </c>
      <c r="F13" s="13">
        <f t="shared" si="1"/>
        <v>45860</v>
      </c>
      <c r="G13" s="13">
        <f t="shared" si="2"/>
        <v>45867</v>
      </c>
      <c r="H13" s="11">
        <v>1</v>
      </c>
      <c r="I13" s="18"/>
      <c r="J13" s="18"/>
      <c r="K13" s="18"/>
      <c r="L13" s="18"/>
      <c r="M13" s="18"/>
      <c r="N13" s="18"/>
      <c r="O13" s="18"/>
      <c r="P13" s="18"/>
      <c r="Q13" s="18"/>
      <c r="R13" s="18"/>
      <c r="S13" s="18"/>
      <c r="T13" s="18"/>
      <c r="U13" s="18"/>
      <c r="V13" s="18"/>
      <c r="W13" s="18"/>
      <c r="X13" s="18"/>
      <c r="Y13" s="18" t="s">
        <v>153</v>
      </c>
      <c r="Z13" s="18"/>
      <c r="AA13" s="18"/>
      <c r="AB13" s="18"/>
      <c r="AC13" s="18"/>
      <c r="AD13" s="18"/>
      <c r="AE13" s="18"/>
      <c r="AF13" s="18"/>
      <c r="AG13" s="18"/>
      <c r="AH13" s="18"/>
      <c r="AI13" s="18"/>
      <c r="AJ13" s="18"/>
      <c r="AK13" s="18"/>
      <c r="AL13" s="18"/>
    </row>
    <row r="14" spans="1:38" ht="90" x14ac:dyDescent="0.25">
      <c r="A14" s="12" t="s">
        <v>27</v>
      </c>
      <c r="B14" s="16" t="s">
        <v>96</v>
      </c>
      <c r="C14" s="15" t="s">
        <v>110</v>
      </c>
      <c r="D14" s="15" t="s">
        <v>128</v>
      </c>
      <c r="E14" s="15" t="s">
        <v>147</v>
      </c>
      <c r="F14" s="13">
        <f t="shared" si="1"/>
        <v>45867</v>
      </c>
      <c r="G14" s="13">
        <f t="shared" si="2"/>
        <v>45874</v>
      </c>
      <c r="H14" s="11">
        <v>1</v>
      </c>
      <c r="I14" s="18"/>
      <c r="J14" s="18"/>
      <c r="K14" s="18"/>
      <c r="L14" s="18"/>
      <c r="M14" s="18"/>
      <c r="N14" s="18"/>
      <c r="O14" s="18"/>
      <c r="P14" s="18"/>
      <c r="Q14" s="18"/>
      <c r="R14" s="18"/>
      <c r="S14" s="18"/>
      <c r="T14" s="18"/>
      <c r="U14" s="18"/>
      <c r="V14" s="18"/>
      <c r="W14" s="18"/>
      <c r="X14" s="18"/>
      <c r="Y14" s="18"/>
      <c r="Z14" s="18" t="s">
        <v>153</v>
      </c>
      <c r="AA14" s="18"/>
      <c r="AB14" s="18"/>
      <c r="AC14" s="18"/>
      <c r="AD14" s="18"/>
      <c r="AE14" s="18"/>
      <c r="AF14" s="18"/>
      <c r="AG14" s="18"/>
      <c r="AH14" s="18"/>
      <c r="AI14" s="18"/>
      <c r="AJ14" s="18"/>
      <c r="AK14" s="18"/>
      <c r="AL14" s="18"/>
    </row>
    <row r="15" spans="1:38" ht="75" x14ac:dyDescent="0.25">
      <c r="A15" s="12" t="s">
        <v>28</v>
      </c>
      <c r="B15" s="16" t="s">
        <v>97</v>
      </c>
      <c r="C15" s="15" t="s">
        <v>111</v>
      </c>
      <c r="D15" s="15" t="s">
        <v>129</v>
      </c>
      <c r="E15" s="15" t="s">
        <v>148</v>
      </c>
      <c r="F15" s="13">
        <f t="shared" si="1"/>
        <v>45874</v>
      </c>
      <c r="G15" s="13">
        <f t="shared" si="2"/>
        <v>45881</v>
      </c>
      <c r="H15" s="11">
        <v>1</v>
      </c>
      <c r="I15" s="18"/>
      <c r="J15" s="18"/>
      <c r="K15" s="18"/>
      <c r="L15" s="18"/>
      <c r="M15" s="18"/>
      <c r="N15" s="18"/>
      <c r="O15" s="18"/>
      <c r="P15" s="18"/>
      <c r="Q15" s="18"/>
      <c r="R15" s="18"/>
      <c r="S15" s="18"/>
      <c r="T15" s="18"/>
      <c r="U15" s="18"/>
      <c r="V15" s="18"/>
      <c r="W15" s="18"/>
      <c r="X15" s="18"/>
      <c r="Y15" s="18"/>
      <c r="Z15" s="18"/>
      <c r="AA15" s="18" t="s">
        <v>153</v>
      </c>
      <c r="AB15" s="18"/>
      <c r="AC15" s="18"/>
      <c r="AD15" s="18"/>
      <c r="AE15" s="18"/>
      <c r="AF15" s="18"/>
      <c r="AG15" s="18"/>
      <c r="AH15" s="18"/>
      <c r="AI15" s="18"/>
      <c r="AJ15" s="18"/>
      <c r="AK15" s="18"/>
      <c r="AL15" s="18"/>
    </row>
    <row r="16" spans="1:38" ht="90" x14ac:dyDescent="0.25">
      <c r="A16" s="12" t="s">
        <v>38</v>
      </c>
      <c r="B16" s="16" t="s">
        <v>50</v>
      </c>
      <c r="C16" s="15" t="s">
        <v>112</v>
      </c>
      <c r="D16" s="15" t="s">
        <v>130</v>
      </c>
      <c r="E16" s="15" t="s">
        <v>147</v>
      </c>
      <c r="F16" s="13">
        <f t="shared" si="1"/>
        <v>45881</v>
      </c>
      <c r="G16" s="13">
        <f t="shared" si="2"/>
        <v>45888</v>
      </c>
      <c r="H16" s="11">
        <v>1</v>
      </c>
      <c r="I16" s="18"/>
      <c r="J16" s="18"/>
      <c r="K16" s="18"/>
      <c r="L16" s="18"/>
      <c r="M16" s="18"/>
      <c r="N16" s="18"/>
      <c r="O16" s="18"/>
      <c r="P16" s="18"/>
      <c r="Q16" s="18"/>
      <c r="R16" s="18"/>
      <c r="S16" s="18"/>
      <c r="T16" s="18"/>
      <c r="U16" s="18"/>
      <c r="V16" s="18"/>
      <c r="W16" s="18"/>
      <c r="X16" s="18"/>
      <c r="Y16" s="18"/>
      <c r="Z16" s="18"/>
      <c r="AA16" s="18"/>
      <c r="AB16" s="18" t="s">
        <v>153</v>
      </c>
      <c r="AC16" s="18"/>
      <c r="AD16" s="18"/>
      <c r="AE16" s="18"/>
      <c r="AF16" s="18"/>
      <c r="AG16" s="18"/>
      <c r="AH16" s="18"/>
      <c r="AI16" s="18"/>
      <c r="AJ16" s="18"/>
      <c r="AK16" s="18"/>
      <c r="AL16" s="18"/>
    </row>
    <row r="17" spans="1:38" ht="75" x14ac:dyDescent="0.25">
      <c r="A17" s="12" t="s">
        <v>39</v>
      </c>
      <c r="B17" s="16" t="s">
        <v>98</v>
      </c>
      <c r="C17" s="15" t="s">
        <v>113</v>
      </c>
      <c r="D17" s="15" t="s">
        <v>131</v>
      </c>
      <c r="E17" s="15" t="s">
        <v>147</v>
      </c>
      <c r="F17" s="13">
        <f t="shared" si="1"/>
        <v>45888</v>
      </c>
      <c r="G17" s="13">
        <f t="shared" si="2"/>
        <v>45902</v>
      </c>
      <c r="H17" s="11">
        <v>2</v>
      </c>
      <c r="I17" s="18"/>
      <c r="J17" s="18"/>
      <c r="K17" s="18"/>
      <c r="L17" s="18"/>
      <c r="M17" s="18"/>
      <c r="N17" s="18"/>
      <c r="O17" s="18"/>
      <c r="P17" s="18"/>
      <c r="Q17" s="18"/>
      <c r="R17" s="18"/>
      <c r="S17" s="18"/>
      <c r="T17" s="18"/>
      <c r="U17" s="18"/>
      <c r="V17" s="18"/>
      <c r="W17" s="18"/>
      <c r="X17" s="18"/>
      <c r="Y17" s="18"/>
      <c r="Z17" s="18"/>
      <c r="AA17" s="18"/>
      <c r="AB17" s="18"/>
      <c r="AC17" s="18" t="s">
        <v>153</v>
      </c>
      <c r="AD17" s="18" t="s">
        <v>153</v>
      </c>
      <c r="AE17" s="18"/>
      <c r="AF17" s="18"/>
      <c r="AG17" s="18"/>
      <c r="AH17" s="18"/>
      <c r="AI17" s="18"/>
      <c r="AJ17" s="18"/>
      <c r="AK17" s="18"/>
      <c r="AL17" s="18"/>
    </row>
    <row r="18" spans="1:38" ht="90" x14ac:dyDescent="0.25">
      <c r="A18" s="12" t="s">
        <v>40</v>
      </c>
      <c r="B18" s="16" t="s">
        <v>51</v>
      </c>
      <c r="C18" s="15" t="s">
        <v>114</v>
      </c>
      <c r="D18" s="15" t="s">
        <v>132</v>
      </c>
      <c r="E18" s="15" t="s">
        <v>147</v>
      </c>
      <c r="F18" s="13">
        <f t="shared" si="1"/>
        <v>45902</v>
      </c>
      <c r="G18" s="13">
        <f t="shared" si="2"/>
        <v>45916</v>
      </c>
      <c r="H18" s="11">
        <v>2</v>
      </c>
      <c r="I18" s="18"/>
      <c r="J18" s="18"/>
      <c r="K18" s="18"/>
      <c r="L18" s="18"/>
      <c r="M18" s="18"/>
      <c r="N18" s="18"/>
      <c r="O18" s="18"/>
      <c r="P18" s="18"/>
      <c r="Q18" s="18"/>
      <c r="R18" s="18"/>
      <c r="S18" s="18"/>
      <c r="T18" s="18"/>
      <c r="U18" s="18"/>
      <c r="V18" s="18"/>
      <c r="W18" s="18"/>
      <c r="X18" s="18"/>
      <c r="Y18" s="18"/>
      <c r="Z18" s="18"/>
      <c r="AA18" s="18"/>
      <c r="AB18" s="18"/>
      <c r="AC18" s="18"/>
      <c r="AD18" s="18"/>
      <c r="AE18" s="18" t="s">
        <v>153</v>
      </c>
      <c r="AF18" s="18" t="s">
        <v>153</v>
      </c>
      <c r="AG18" s="18"/>
      <c r="AH18" s="18"/>
      <c r="AI18" s="18"/>
      <c r="AJ18" s="18"/>
      <c r="AK18" s="18"/>
      <c r="AL18" s="18"/>
    </row>
    <row r="19" spans="1:38" ht="90" x14ac:dyDescent="0.25">
      <c r="A19" s="12" t="s">
        <v>41</v>
      </c>
      <c r="B19" s="16" t="s">
        <v>138</v>
      </c>
      <c r="C19" s="15" t="s">
        <v>115</v>
      </c>
      <c r="D19" s="15" t="s">
        <v>137</v>
      </c>
      <c r="E19" s="15" t="s">
        <v>149</v>
      </c>
      <c r="F19" s="13">
        <f t="shared" si="1"/>
        <v>45916</v>
      </c>
      <c r="G19" s="13">
        <f t="shared" si="2"/>
        <v>45923</v>
      </c>
      <c r="H19" s="11">
        <v>1</v>
      </c>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t="s">
        <v>153</v>
      </c>
      <c r="AH19" s="18"/>
      <c r="AI19" s="18"/>
      <c r="AJ19" s="18"/>
      <c r="AK19" s="18"/>
      <c r="AL19" s="18"/>
    </row>
    <row r="20" spans="1:38" ht="120" x14ac:dyDescent="0.25">
      <c r="A20" s="12" t="s">
        <v>42</v>
      </c>
      <c r="B20" s="16" t="s">
        <v>53</v>
      </c>
      <c r="C20" s="15" t="s">
        <v>116</v>
      </c>
      <c r="D20" s="15" t="s">
        <v>133</v>
      </c>
      <c r="E20" s="15" t="s">
        <v>144</v>
      </c>
      <c r="F20" s="13">
        <f t="shared" si="1"/>
        <v>45923</v>
      </c>
      <c r="G20" s="13">
        <f t="shared" si="2"/>
        <v>45930</v>
      </c>
      <c r="H20" s="11">
        <v>1</v>
      </c>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t="s">
        <v>153</v>
      </c>
      <c r="AI20" s="18"/>
      <c r="AJ20" s="18"/>
      <c r="AK20" s="18"/>
      <c r="AL20" s="18"/>
    </row>
    <row r="21" spans="1:38" ht="90" x14ac:dyDescent="0.25">
      <c r="A21" s="12" t="s">
        <v>43</v>
      </c>
      <c r="B21" s="16" t="s">
        <v>79</v>
      </c>
      <c r="C21" s="15" t="s">
        <v>117</v>
      </c>
      <c r="D21" s="15" t="s">
        <v>134</v>
      </c>
      <c r="E21" s="15" t="s">
        <v>147</v>
      </c>
      <c r="F21" s="13">
        <f t="shared" si="1"/>
        <v>45930</v>
      </c>
      <c r="G21" s="13">
        <f t="shared" si="2"/>
        <v>45937</v>
      </c>
      <c r="H21" s="11">
        <v>1</v>
      </c>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t="s">
        <v>153</v>
      </c>
      <c r="AJ21" s="18"/>
      <c r="AK21" s="18"/>
      <c r="AL21" s="18"/>
    </row>
    <row r="22" spans="1:38" ht="120" x14ac:dyDescent="0.25">
      <c r="A22" s="12" t="s">
        <v>44</v>
      </c>
      <c r="B22" s="16" t="s">
        <v>54</v>
      </c>
      <c r="C22" s="15" t="s">
        <v>118</v>
      </c>
      <c r="D22" s="15" t="s">
        <v>135</v>
      </c>
      <c r="E22" s="15" t="s">
        <v>147</v>
      </c>
      <c r="F22" s="13">
        <f t="shared" si="1"/>
        <v>45937</v>
      </c>
      <c r="G22" s="13">
        <f t="shared" si="2"/>
        <v>45951</v>
      </c>
      <c r="H22" s="11">
        <v>2</v>
      </c>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t="s">
        <v>153</v>
      </c>
      <c r="AK22" s="18" t="s">
        <v>153</v>
      </c>
      <c r="AL22" s="18"/>
    </row>
    <row r="23" spans="1:38" x14ac:dyDescent="0.25">
      <c r="A23" s="1"/>
    </row>
    <row r="24" spans="1:38" x14ac:dyDescent="0.25">
      <c r="A24" s="1"/>
    </row>
    <row r="25" spans="1:38" x14ac:dyDescent="0.25">
      <c r="A25" s="1"/>
    </row>
    <row r="26" spans="1:38" x14ac:dyDescent="0.25">
      <c r="A26" s="1"/>
    </row>
    <row r="27" spans="1:38" x14ac:dyDescent="0.25">
      <c r="A27" s="1"/>
    </row>
  </sheetData>
  <conditionalFormatting sqref="I4:AL22">
    <cfRule type="cellIs" dxfId="0" priority="1" operator="equal">
      <formula>"x"</formula>
    </cfRule>
  </conditionalFormatting>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pageSetUpPr fitToPage="1"/>
  </sheetPr>
  <dimension ref="A2:AL26"/>
  <sheetViews>
    <sheetView tabSelected="1" topLeftCell="A19" zoomScaleNormal="100" workbookViewId="0">
      <selection activeCell="AL22" sqref="A2:AL22"/>
    </sheetView>
  </sheetViews>
  <sheetFormatPr baseColWidth="10" defaultRowHeight="15" x14ac:dyDescent="0.25"/>
  <cols>
    <col min="1" max="1" width="4.42578125" customWidth="1"/>
    <col min="2" max="2" width="14.140625" customWidth="1"/>
    <col min="3" max="3" width="21.28515625" customWidth="1"/>
    <col min="4" max="4" width="34.28515625" customWidth="1"/>
    <col min="5" max="5" width="17" customWidth="1"/>
    <col min="9" max="9" width="3.5703125" customWidth="1"/>
    <col min="10" max="38" width="3.5703125" bestFit="1" customWidth="1"/>
  </cols>
  <sheetData>
    <row r="2" spans="1:38" ht="18" x14ac:dyDescent="0.35">
      <c r="A2" s="10" t="s">
        <v>56</v>
      </c>
    </row>
    <row r="3" spans="1:38" ht="65.45" customHeight="1" x14ac:dyDescent="0.25">
      <c r="A3" s="14" t="s">
        <v>57</v>
      </c>
      <c r="B3" s="14" t="s">
        <v>151</v>
      </c>
      <c r="C3" s="14" t="s">
        <v>150</v>
      </c>
      <c r="D3" s="14" t="s">
        <v>99</v>
      </c>
      <c r="E3" s="14" t="s">
        <v>152</v>
      </c>
      <c r="F3" s="14" t="s">
        <v>1</v>
      </c>
      <c r="G3" s="14" t="s">
        <v>2</v>
      </c>
      <c r="H3" s="14" t="s">
        <v>154</v>
      </c>
      <c r="I3" s="19">
        <v>45748</v>
      </c>
      <c r="J3" s="19">
        <f>I3+7</f>
        <v>45755</v>
      </c>
      <c r="K3" s="19">
        <f t="shared" ref="K3:AL3" si="0">J3+7</f>
        <v>45762</v>
      </c>
      <c r="L3" s="19">
        <f t="shared" si="0"/>
        <v>45769</v>
      </c>
      <c r="M3" s="19">
        <f t="shared" si="0"/>
        <v>45776</v>
      </c>
      <c r="N3" s="19">
        <f t="shared" si="0"/>
        <v>45783</v>
      </c>
      <c r="O3" s="19">
        <f t="shared" si="0"/>
        <v>45790</v>
      </c>
      <c r="P3" s="19">
        <f t="shared" si="0"/>
        <v>45797</v>
      </c>
      <c r="Q3" s="19">
        <f t="shared" si="0"/>
        <v>45804</v>
      </c>
      <c r="R3" s="19">
        <f t="shared" si="0"/>
        <v>45811</v>
      </c>
      <c r="S3" s="19">
        <f t="shared" si="0"/>
        <v>45818</v>
      </c>
      <c r="T3" s="19">
        <f t="shared" si="0"/>
        <v>45825</v>
      </c>
      <c r="U3" s="19">
        <f t="shared" si="0"/>
        <v>45832</v>
      </c>
      <c r="V3" s="19">
        <f t="shared" si="0"/>
        <v>45839</v>
      </c>
      <c r="W3" s="19">
        <f t="shared" si="0"/>
        <v>45846</v>
      </c>
      <c r="X3" s="19">
        <f t="shared" si="0"/>
        <v>45853</v>
      </c>
      <c r="Y3" s="19">
        <f t="shared" si="0"/>
        <v>45860</v>
      </c>
      <c r="Z3" s="19">
        <f t="shared" si="0"/>
        <v>45867</v>
      </c>
      <c r="AA3" s="19">
        <f t="shared" si="0"/>
        <v>45874</v>
      </c>
      <c r="AB3" s="19">
        <f t="shared" si="0"/>
        <v>45881</v>
      </c>
      <c r="AC3" s="19">
        <f t="shared" si="0"/>
        <v>45888</v>
      </c>
      <c r="AD3" s="19">
        <f t="shared" si="0"/>
        <v>45895</v>
      </c>
      <c r="AE3" s="19">
        <f t="shared" si="0"/>
        <v>45902</v>
      </c>
      <c r="AF3" s="19">
        <f t="shared" si="0"/>
        <v>45909</v>
      </c>
      <c r="AG3" s="19">
        <f t="shared" si="0"/>
        <v>45916</v>
      </c>
      <c r="AH3" s="19">
        <f t="shared" si="0"/>
        <v>45923</v>
      </c>
      <c r="AI3" s="19">
        <f t="shared" si="0"/>
        <v>45930</v>
      </c>
      <c r="AJ3" s="19">
        <f t="shared" si="0"/>
        <v>45937</v>
      </c>
      <c r="AK3" s="19">
        <f t="shared" si="0"/>
        <v>45944</v>
      </c>
      <c r="AL3" s="19">
        <f t="shared" si="0"/>
        <v>45951</v>
      </c>
    </row>
    <row r="4" spans="1:38" ht="75" x14ac:dyDescent="0.25">
      <c r="A4" s="12" t="s">
        <v>5</v>
      </c>
      <c r="B4" s="16" t="s">
        <v>9</v>
      </c>
      <c r="C4" s="15" t="s">
        <v>100</v>
      </c>
      <c r="D4" s="15" t="s">
        <v>119</v>
      </c>
      <c r="E4" s="15" t="s">
        <v>139</v>
      </c>
      <c r="F4" s="13">
        <v>45748</v>
      </c>
      <c r="G4" s="13">
        <v>45755</v>
      </c>
      <c r="H4" s="11">
        <v>1</v>
      </c>
      <c r="I4" s="21"/>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row>
    <row r="5" spans="1:38" ht="105" x14ac:dyDescent="0.25">
      <c r="A5" s="12" t="s">
        <v>6</v>
      </c>
      <c r="B5" s="16" t="s">
        <v>10</v>
      </c>
      <c r="C5" s="15" t="s">
        <v>101</v>
      </c>
      <c r="D5" s="15" t="s">
        <v>136</v>
      </c>
      <c r="E5" s="15" t="s">
        <v>140</v>
      </c>
      <c r="F5" s="13">
        <f>G4</f>
        <v>45755</v>
      </c>
      <c r="G5" s="13">
        <f>F5+7*H5</f>
        <v>45762</v>
      </c>
      <c r="H5" s="11">
        <v>1</v>
      </c>
      <c r="I5" s="20"/>
      <c r="J5" s="21"/>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row>
    <row r="6" spans="1:38" ht="105" x14ac:dyDescent="0.25">
      <c r="A6" s="12" t="s">
        <v>7</v>
      </c>
      <c r="B6" s="16" t="s">
        <v>36</v>
      </c>
      <c r="C6" s="15" t="s">
        <v>102</v>
      </c>
      <c r="D6" s="15" t="s">
        <v>120</v>
      </c>
      <c r="E6" s="15" t="s">
        <v>141</v>
      </c>
      <c r="F6" s="13">
        <f>G5</f>
        <v>45762</v>
      </c>
      <c r="G6" s="13">
        <f>F6+7*H6</f>
        <v>45769</v>
      </c>
      <c r="H6" s="11">
        <v>1</v>
      </c>
      <c r="I6" s="20"/>
      <c r="J6" s="20"/>
      <c r="K6" s="21"/>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row>
    <row r="7" spans="1:38" ht="105" x14ac:dyDescent="0.25">
      <c r="A7" s="12" t="s">
        <v>8</v>
      </c>
      <c r="B7" s="16" t="s">
        <v>37</v>
      </c>
      <c r="C7" s="15" t="s">
        <v>103</v>
      </c>
      <c r="D7" s="15" t="s">
        <v>121</v>
      </c>
      <c r="E7" s="15" t="s">
        <v>142</v>
      </c>
      <c r="F7" s="13">
        <f t="shared" ref="F7:F22" si="1">G6</f>
        <v>45769</v>
      </c>
      <c r="G7" s="13">
        <f t="shared" ref="G7:G22" si="2">F7+7*H7</f>
        <v>45776</v>
      </c>
      <c r="H7" s="11">
        <v>1</v>
      </c>
      <c r="I7" s="20"/>
      <c r="J7" s="20"/>
      <c r="K7" s="20"/>
      <c r="L7" s="21"/>
      <c r="M7" s="20"/>
      <c r="N7" s="20"/>
      <c r="O7" s="20"/>
      <c r="P7" s="20"/>
      <c r="Q7" s="20"/>
      <c r="R7" s="20"/>
      <c r="S7" s="20"/>
      <c r="T7" s="20"/>
      <c r="U7" s="20"/>
      <c r="V7" s="20"/>
      <c r="W7" s="20"/>
      <c r="X7" s="20"/>
      <c r="Y7" s="20"/>
      <c r="Z7" s="20"/>
      <c r="AA7" s="20"/>
      <c r="AB7" s="20"/>
      <c r="AC7" s="20"/>
      <c r="AD7" s="20"/>
      <c r="AE7" s="20"/>
      <c r="AF7" s="20"/>
      <c r="AG7" s="20"/>
      <c r="AH7" s="20"/>
      <c r="AI7" s="20"/>
      <c r="AJ7" s="20"/>
      <c r="AK7" s="20"/>
      <c r="AL7" s="20"/>
    </row>
    <row r="8" spans="1:38" ht="105" x14ac:dyDescent="0.25">
      <c r="A8" s="12" t="s">
        <v>21</v>
      </c>
      <c r="B8" s="16" t="s">
        <v>45</v>
      </c>
      <c r="C8" s="15" t="s">
        <v>104</v>
      </c>
      <c r="D8" s="15" t="s">
        <v>122</v>
      </c>
      <c r="E8" s="15" t="s">
        <v>143</v>
      </c>
      <c r="F8" s="13">
        <f t="shared" si="1"/>
        <v>45776</v>
      </c>
      <c r="G8" s="13">
        <f t="shared" si="2"/>
        <v>45790</v>
      </c>
      <c r="H8" s="11">
        <v>2</v>
      </c>
      <c r="I8" s="20"/>
      <c r="J8" s="20"/>
      <c r="K8" s="20"/>
      <c r="L8" s="20"/>
      <c r="M8" s="21"/>
      <c r="N8" s="21"/>
      <c r="O8" s="20"/>
      <c r="P8" s="20"/>
      <c r="Q8" s="20"/>
      <c r="R8" s="20"/>
      <c r="S8" s="20"/>
      <c r="T8" s="20"/>
      <c r="U8" s="20"/>
      <c r="V8" s="20"/>
      <c r="W8" s="20"/>
      <c r="X8" s="20"/>
      <c r="Y8" s="20"/>
      <c r="Z8" s="20"/>
      <c r="AA8" s="20"/>
      <c r="AB8" s="20"/>
      <c r="AC8" s="20"/>
      <c r="AD8" s="20"/>
      <c r="AE8" s="20"/>
      <c r="AF8" s="20"/>
      <c r="AG8" s="20"/>
      <c r="AH8" s="20"/>
      <c r="AI8" s="20"/>
      <c r="AJ8" s="20"/>
      <c r="AK8" s="20"/>
      <c r="AL8" s="20"/>
    </row>
    <row r="9" spans="1:38" ht="90" x14ac:dyDescent="0.25">
      <c r="A9" s="12" t="s">
        <v>22</v>
      </c>
      <c r="B9" s="16" t="s">
        <v>31</v>
      </c>
      <c r="C9" s="15" t="s">
        <v>105</v>
      </c>
      <c r="D9" s="15" t="s">
        <v>123</v>
      </c>
      <c r="E9" s="15" t="s">
        <v>144</v>
      </c>
      <c r="F9" s="13">
        <f t="shared" si="1"/>
        <v>45790</v>
      </c>
      <c r="G9" s="13">
        <f t="shared" si="2"/>
        <v>45804</v>
      </c>
      <c r="H9" s="11">
        <v>2</v>
      </c>
      <c r="I9" s="20"/>
      <c r="J9" s="20"/>
      <c r="K9" s="20"/>
      <c r="L9" s="20"/>
      <c r="M9" s="20"/>
      <c r="N9" s="20"/>
      <c r="O9" s="21"/>
      <c r="P9" s="21"/>
      <c r="Q9" s="20"/>
      <c r="R9" s="20"/>
      <c r="S9" s="20"/>
      <c r="T9" s="20"/>
      <c r="U9" s="20"/>
      <c r="V9" s="20"/>
      <c r="W9" s="20"/>
      <c r="X9" s="20"/>
      <c r="Y9" s="20"/>
      <c r="Z9" s="20"/>
      <c r="AA9" s="20"/>
      <c r="AB9" s="20"/>
      <c r="AC9" s="20"/>
      <c r="AD9" s="20"/>
      <c r="AE9" s="20"/>
      <c r="AF9" s="20"/>
      <c r="AG9" s="20"/>
      <c r="AH9" s="20"/>
      <c r="AI9" s="20"/>
      <c r="AJ9" s="20"/>
      <c r="AK9" s="20"/>
      <c r="AL9" s="20"/>
    </row>
    <row r="10" spans="1:38" ht="105" x14ac:dyDescent="0.25">
      <c r="A10" s="12" t="s">
        <v>23</v>
      </c>
      <c r="B10" s="16" t="s">
        <v>94</v>
      </c>
      <c r="C10" s="15" t="s">
        <v>106</v>
      </c>
      <c r="D10" s="15" t="s">
        <v>124</v>
      </c>
      <c r="E10" s="15" t="s">
        <v>145</v>
      </c>
      <c r="F10" s="13">
        <f t="shared" si="1"/>
        <v>45804</v>
      </c>
      <c r="G10" s="13">
        <f t="shared" si="2"/>
        <v>45825</v>
      </c>
      <c r="H10" s="11">
        <v>3</v>
      </c>
      <c r="I10" s="20"/>
      <c r="J10" s="20"/>
      <c r="K10" s="20"/>
      <c r="L10" s="20"/>
      <c r="M10" s="20"/>
      <c r="N10" s="20"/>
      <c r="O10" s="20"/>
      <c r="P10" s="20"/>
      <c r="Q10" s="21"/>
      <c r="R10" s="21"/>
      <c r="S10" s="21"/>
      <c r="T10" s="20"/>
      <c r="U10" s="20"/>
      <c r="V10" s="20"/>
      <c r="W10" s="20"/>
      <c r="X10" s="20"/>
      <c r="Y10" s="20"/>
      <c r="Z10" s="20"/>
      <c r="AA10" s="20"/>
      <c r="AB10" s="20"/>
      <c r="AC10" s="20"/>
      <c r="AD10" s="20"/>
      <c r="AE10" s="20"/>
      <c r="AF10" s="20"/>
      <c r="AG10" s="20"/>
      <c r="AH10" s="20"/>
      <c r="AI10" s="20"/>
      <c r="AJ10" s="20"/>
      <c r="AK10" s="20"/>
      <c r="AL10" s="20"/>
    </row>
    <row r="11" spans="1:38" ht="90" x14ac:dyDescent="0.25">
      <c r="A11" s="12" t="s">
        <v>24</v>
      </c>
      <c r="B11" s="16" t="s">
        <v>95</v>
      </c>
      <c r="C11" s="15" t="s">
        <v>107</v>
      </c>
      <c r="D11" s="15" t="s">
        <v>125</v>
      </c>
      <c r="E11" s="15" t="s">
        <v>144</v>
      </c>
      <c r="F11" s="13">
        <f t="shared" si="1"/>
        <v>45825</v>
      </c>
      <c r="G11" s="13">
        <f t="shared" si="2"/>
        <v>45846</v>
      </c>
      <c r="H11" s="11">
        <v>3</v>
      </c>
      <c r="I11" s="20"/>
      <c r="J11" s="20"/>
      <c r="K11" s="20"/>
      <c r="L11" s="20"/>
      <c r="M11" s="20"/>
      <c r="N11" s="20"/>
      <c r="O11" s="20"/>
      <c r="P11" s="20"/>
      <c r="Q11" s="20"/>
      <c r="R11" s="20"/>
      <c r="S11" s="20"/>
      <c r="T11" s="21"/>
      <c r="U11" s="21"/>
      <c r="V11" s="21"/>
      <c r="W11" s="20"/>
      <c r="X11" s="20"/>
      <c r="Y11" s="20"/>
      <c r="Z11" s="20"/>
      <c r="AA11" s="20"/>
      <c r="AB11" s="20"/>
      <c r="AC11" s="20"/>
      <c r="AD11" s="20"/>
      <c r="AE11" s="20"/>
      <c r="AF11" s="20"/>
      <c r="AG11" s="20"/>
      <c r="AH11" s="20"/>
      <c r="AI11" s="20"/>
      <c r="AJ11" s="20"/>
      <c r="AK11" s="20"/>
      <c r="AL11" s="20"/>
    </row>
    <row r="12" spans="1:38" ht="105" x14ac:dyDescent="0.25">
      <c r="A12" s="12" t="s">
        <v>25</v>
      </c>
      <c r="B12" s="16" t="s">
        <v>48</v>
      </c>
      <c r="C12" s="15" t="s">
        <v>108</v>
      </c>
      <c r="D12" s="15" t="s">
        <v>126</v>
      </c>
      <c r="E12" s="15" t="s">
        <v>144</v>
      </c>
      <c r="F12" s="13">
        <f t="shared" si="1"/>
        <v>45846</v>
      </c>
      <c r="G12" s="13">
        <f t="shared" si="2"/>
        <v>45860</v>
      </c>
      <c r="H12" s="11">
        <v>2</v>
      </c>
      <c r="I12" s="20"/>
      <c r="J12" s="20"/>
      <c r="K12" s="20"/>
      <c r="L12" s="20"/>
      <c r="M12" s="20"/>
      <c r="N12" s="20"/>
      <c r="O12" s="20"/>
      <c r="P12" s="20"/>
      <c r="Q12" s="20"/>
      <c r="R12" s="20"/>
      <c r="S12" s="20"/>
      <c r="T12" s="20"/>
      <c r="U12" s="20"/>
      <c r="V12" s="20"/>
      <c r="W12" s="21"/>
      <c r="X12" s="21"/>
      <c r="Y12" s="20"/>
      <c r="Z12" s="20"/>
      <c r="AA12" s="20"/>
      <c r="AB12" s="20"/>
      <c r="AC12" s="20"/>
      <c r="AD12" s="20"/>
      <c r="AE12" s="20"/>
      <c r="AF12" s="20"/>
      <c r="AG12" s="20"/>
      <c r="AH12" s="20"/>
      <c r="AI12" s="20"/>
      <c r="AJ12" s="20"/>
      <c r="AK12" s="20"/>
      <c r="AL12" s="20"/>
    </row>
    <row r="13" spans="1:38" ht="120" x14ac:dyDescent="0.25">
      <c r="A13" s="12" t="s">
        <v>26</v>
      </c>
      <c r="B13" s="16" t="s">
        <v>49</v>
      </c>
      <c r="C13" s="15" t="s">
        <v>109</v>
      </c>
      <c r="D13" s="15" t="s">
        <v>127</v>
      </c>
      <c r="E13" s="15" t="s">
        <v>146</v>
      </c>
      <c r="F13" s="13">
        <f t="shared" si="1"/>
        <v>45860</v>
      </c>
      <c r="G13" s="13">
        <f t="shared" si="2"/>
        <v>45867</v>
      </c>
      <c r="H13" s="11">
        <v>1</v>
      </c>
      <c r="I13" s="20"/>
      <c r="J13" s="20"/>
      <c r="K13" s="20"/>
      <c r="L13" s="20"/>
      <c r="M13" s="20"/>
      <c r="N13" s="20"/>
      <c r="O13" s="20"/>
      <c r="P13" s="20"/>
      <c r="Q13" s="20"/>
      <c r="R13" s="20"/>
      <c r="S13" s="20"/>
      <c r="T13" s="20"/>
      <c r="U13" s="20"/>
      <c r="V13" s="20"/>
      <c r="W13" s="20"/>
      <c r="X13" s="20"/>
      <c r="Y13" s="21"/>
      <c r="Z13" s="20"/>
      <c r="AA13" s="20"/>
      <c r="AB13" s="20"/>
      <c r="AC13" s="20"/>
      <c r="AD13" s="20"/>
      <c r="AE13" s="20"/>
      <c r="AF13" s="20"/>
      <c r="AG13" s="20"/>
      <c r="AH13" s="20"/>
      <c r="AI13" s="20"/>
      <c r="AJ13" s="20"/>
      <c r="AK13" s="20"/>
      <c r="AL13" s="20"/>
    </row>
    <row r="14" spans="1:38" ht="90" x14ac:dyDescent="0.25">
      <c r="A14" s="12" t="s">
        <v>27</v>
      </c>
      <c r="B14" s="16" t="s">
        <v>96</v>
      </c>
      <c r="C14" s="15" t="s">
        <v>110</v>
      </c>
      <c r="D14" s="15" t="s">
        <v>128</v>
      </c>
      <c r="E14" s="15" t="s">
        <v>147</v>
      </c>
      <c r="F14" s="13">
        <f t="shared" si="1"/>
        <v>45867</v>
      </c>
      <c r="G14" s="13">
        <f t="shared" si="2"/>
        <v>45874</v>
      </c>
      <c r="H14" s="11">
        <v>1</v>
      </c>
      <c r="I14" s="20"/>
      <c r="J14" s="20"/>
      <c r="K14" s="20"/>
      <c r="L14" s="20"/>
      <c r="M14" s="20"/>
      <c r="N14" s="20"/>
      <c r="O14" s="20"/>
      <c r="P14" s="20"/>
      <c r="Q14" s="20"/>
      <c r="R14" s="20"/>
      <c r="S14" s="20"/>
      <c r="T14" s="20"/>
      <c r="U14" s="20"/>
      <c r="V14" s="20"/>
      <c r="W14" s="20"/>
      <c r="X14" s="20"/>
      <c r="Y14" s="20"/>
      <c r="Z14" s="21"/>
      <c r="AA14" s="20"/>
      <c r="AB14" s="20"/>
      <c r="AC14" s="20"/>
      <c r="AD14" s="20"/>
      <c r="AE14" s="20"/>
      <c r="AF14" s="20"/>
      <c r="AG14" s="20"/>
      <c r="AH14" s="20"/>
      <c r="AI14" s="20"/>
      <c r="AJ14" s="20"/>
      <c r="AK14" s="20"/>
      <c r="AL14" s="20"/>
    </row>
    <row r="15" spans="1:38" ht="75" x14ac:dyDescent="0.25">
      <c r="A15" s="12" t="s">
        <v>28</v>
      </c>
      <c r="B15" s="16" t="s">
        <v>97</v>
      </c>
      <c r="C15" s="15" t="s">
        <v>111</v>
      </c>
      <c r="D15" s="15" t="s">
        <v>129</v>
      </c>
      <c r="E15" s="15" t="s">
        <v>148</v>
      </c>
      <c r="F15" s="13">
        <f t="shared" si="1"/>
        <v>45874</v>
      </c>
      <c r="G15" s="13">
        <f t="shared" si="2"/>
        <v>45881</v>
      </c>
      <c r="H15" s="11">
        <v>1</v>
      </c>
      <c r="I15" s="20"/>
      <c r="J15" s="20"/>
      <c r="K15" s="20"/>
      <c r="L15" s="20"/>
      <c r="M15" s="20"/>
      <c r="N15" s="20"/>
      <c r="O15" s="20"/>
      <c r="P15" s="20"/>
      <c r="Q15" s="20"/>
      <c r="R15" s="20"/>
      <c r="S15" s="20"/>
      <c r="T15" s="20"/>
      <c r="U15" s="20"/>
      <c r="V15" s="20"/>
      <c r="W15" s="20"/>
      <c r="X15" s="20"/>
      <c r="Y15" s="20"/>
      <c r="Z15" s="20"/>
      <c r="AA15" s="21"/>
      <c r="AB15" s="20"/>
      <c r="AC15" s="20"/>
      <c r="AD15" s="20"/>
      <c r="AE15" s="20"/>
      <c r="AF15" s="20"/>
      <c r="AG15" s="20"/>
      <c r="AH15" s="20"/>
      <c r="AI15" s="20"/>
      <c r="AJ15" s="20"/>
      <c r="AK15" s="20"/>
      <c r="AL15" s="20"/>
    </row>
    <row r="16" spans="1:38" ht="90" x14ac:dyDescent="0.25">
      <c r="A16" s="12" t="s">
        <v>38</v>
      </c>
      <c r="B16" s="16" t="s">
        <v>50</v>
      </c>
      <c r="C16" s="15" t="s">
        <v>112</v>
      </c>
      <c r="D16" s="15" t="s">
        <v>130</v>
      </c>
      <c r="E16" s="15" t="s">
        <v>147</v>
      </c>
      <c r="F16" s="13">
        <f t="shared" si="1"/>
        <v>45881</v>
      </c>
      <c r="G16" s="13">
        <f t="shared" si="2"/>
        <v>45888</v>
      </c>
      <c r="H16" s="11">
        <v>1</v>
      </c>
      <c r="I16" s="20"/>
      <c r="J16" s="20"/>
      <c r="K16" s="20"/>
      <c r="L16" s="20"/>
      <c r="M16" s="20"/>
      <c r="N16" s="20"/>
      <c r="O16" s="20"/>
      <c r="P16" s="20"/>
      <c r="Q16" s="20"/>
      <c r="R16" s="20"/>
      <c r="S16" s="20"/>
      <c r="T16" s="20"/>
      <c r="U16" s="20"/>
      <c r="V16" s="20"/>
      <c r="W16" s="20"/>
      <c r="X16" s="20"/>
      <c r="Y16" s="20"/>
      <c r="Z16" s="20"/>
      <c r="AA16" s="20"/>
      <c r="AB16" s="21"/>
      <c r="AC16" s="20"/>
      <c r="AD16" s="20"/>
      <c r="AE16" s="20"/>
      <c r="AF16" s="20"/>
      <c r="AG16" s="20"/>
      <c r="AH16" s="20"/>
      <c r="AI16" s="20"/>
      <c r="AJ16" s="20"/>
      <c r="AK16" s="20"/>
      <c r="AL16" s="20"/>
    </row>
    <row r="17" spans="1:38" ht="75" x14ac:dyDescent="0.25">
      <c r="A17" s="12" t="s">
        <v>39</v>
      </c>
      <c r="B17" s="16" t="s">
        <v>98</v>
      </c>
      <c r="C17" s="15" t="s">
        <v>113</v>
      </c>
      <c r="D17" s="15" t="s">
        <v>131</v>
      </c>
      <c r="E17" s="15" t="s">
        <v>147</v>
      </c>
      <c r="F17" s="13">
        <f t="shared" si="1"/>
        <v>45888</v>
      </c>
      <c r="G17" s="13">
        <f t="shared" si="2"/>
        <v>45902</v>
      </c>
      <c r="H17" s="11">
        <v>2</v>
      </c>
      <c r="I17" s="20"/>
      <c r="J17" s="20"/>
      <c r="K17" s="20"/>
      <c r="L17" s="20"/>
      <c r="M17" s="20"/>
      <c r="N17" s="20"/>
      <c r="O17" s="20"/>
      <c r="P17" s="20"/>
      <c r="Q17" s="20"/>
      <c r="R17" s="20"/>
      <c r="S17" s="20"/>
      <c r="T17" s="20"/>
      <c r="U17" s="20"/>
      <c r="V17" s="20"/>
      <c r="W17" s="20"/>
      <c r="X17" s="20"/>
      <c r="Y17" s="20"/>
      <c r="Z17" s="20"/>
      <c r="AA17" s="20"/>
      <c r="AB17" s="20"/>
      <c r="AC17" s="21"/>
      <c r="AD17" s="21"/>
      <c r="AE17" s="20"/>
      <c r="AF17" s="20"/>
      <c r="AG17" s="20"/>
      <c r="AH17" s="20"/>
      <c r="AI17" s="20"/>
      <c r="AJ17" s="20"/>
      <c r="AK17" s="20"/>
      <c r="AL17" s="20"/>
    </row>
    <row r="18" spans="1:38" ht="90" x14ac:dyDescent="0.25">
      <c r="A18" s="12" t="s">
        <v>40</v>
      </c>
      <c r="B18" s="16" t="s">
        <v>51</v>
      </c>
      <c r="C18" s="15" t="s">
        <v>114</v>
      </c>
      <c r="D18" s="15" t="s">
        <v>132</v>
      </c>
      <c r="E18" s="15" t="s">
        <v>147</v>
      </c>
      <c r="F18" s="13">
        <f t="shared" si="1"/>
        <v>45902</v>
      </c>
      <c r="G18" s="13">
        <f t="shared" si="2"/>
        <v>45916</v>
      </c>
      <c r="H18" s="11">
        <v>2</v>
      </c>
      <c r="I18" s="20"/>
      <c r="J18" s="20"/>
      <c r="K18" s="20"/>
      <c r="L18" s="20"/>
      <c r="M18" s="20"/>
      <c r="N18" s="20"/>
      <c r="O18" s="20"/>
      <c r="P18" s="20"/>
      <c r="Q18" s="20"/>
      <c r="R18" s="20"/>
      <c r="S18" s="20"/>
      <c r="T18" s="20"/>
      <c r="U18" s="20"/>
      <c r="V18" s="20"/>
      <c r="W18" s="20"/>
      <c r="X18" s="20"/>
      <c r="Y18" s="20"/>
      <c r="Z18" s="20"/>
      <c r="AA18" s="20"/>
      <c r="AB18" s="20"/>
      <c r="AC18" s="20"/>
      <c r="AD18" s="20"/>
      <c r="AE18" s="21"/>
      <c r="AF18" s="21"/>
      <c r="AG18" s="20"/>
      <c r="AH18" s="20"/>
      <c r="AI18" s="20"/>
      <c r="AJ18" s="20"/>
      <c r="AK18" s="20"/>
      <c r="AL18" s="20"/>
    </row>
    <row r="19" spans="1:38" ht="90" x14ac:dyDescent="0.25">
      <c r="A19" s="12" t="s">
        <v>41</v>
      </c>
      <c r="B19" s="16" t="s">
        <v>138</v>
      </c>
      <c r="C19" s="15" t="s">
        <v>115</v>
      </c>
      <c r="D19" s="15" t="s">
        <v>137</v>
      </c>
      <c r="E19" s="15" t="s">
        <v>149</v>
      </c>
      <c r="F19" s="13">
        <f t="shared" si="1"/>
        <v>45916</v>
      </c>
      <c r="G19" s="13">
        <f t="shared" si="2"/>
        <v>45923</v>
      </c>
      <c r="H19" s="11">
        <v>1</v>
      </c>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1"/>
      <c r="AH19" s="20"/>
      <c r="AI19" s="20"/>
      <c r="AJ19" s="20"/>
      <c r="AK19" s="20"/>
      <c r="AL19" s="20"/>
    </row>
    <row r="20" spans="1:38" ht="120" x14ac:dyDescent="0.25">
      <c r="A20" s="12" t="s">
        <v>42</v>
      </c>
      <c r="B20" s="16" t="s">
        <v>53</v>
      </c>
      <c r="C20" s="15" t="s">
        <v>116</v>
      </c>
      <c r="D20" s="15" t="s">
        <v>133</v>
      </c>
      <c r="E20" s="15" t="s">
        <v>144</v>
      </c>
      <c r="F20" s="13">
        <f t="shared" si="1"/>
        <v>45923</v>
      </c>
      <c r="G20" s="13">
        <f t="shared" si="2"/>
        <v>45930</v>
      </c>
      <c r="H20" s="11">
        <v>1</v>
      </c>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1"/>
      <c r="AI20" s="20"/>
      <c r="AJ20" s="20"/>
      <c r="AK20" s="20"/>
      <c r="AL20" s="20"/>
    </row>
    <row r="21" spans="1:38" ht="90" x14ac:dyDescent="0.25">
      <c r="A21" s="12" t="s">
        <v>43</v>
      </c>
      <c r="B21" s="16" t="s">
        <v>79</v>
      </c>
      <c r="C21" s="15" t="s">
        <v>117</v>
      </c>
      <c r="D21" s="15" t="s">
        <v>134</v>
      </c>
      <c r="E21" s="15" t="s">
        <v>147</v>
      </c>
      <c r="F21" s="13">
        <f t="shared" si="1"/>
        <v>45930</v>
      </c>
      <c r="G21" s="13">
        <f t="shared" si="2"/>
        <v>45937</v>
      </c>
      <c r="H21" s="11">
        <v>1</v>
      </c>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1"/>
      <c r="AJ21" s="20"/>
      <c r="AK21" s="20"/>
      <c r="AL21" s="20"/>
    </row>
    <row r="22" spans="1:38" ht="120" x14ac:dyDescent="0.25">
      <c r="A22" s="12" t="s">
        <v>44</v>
      </c>
      <c r="B22" s="16" t="s">
        <v>54</v>
      </c>
      <c r="C22" s="15" t="s">
        <v>118</v>
      </c>
      <c r="D22" s="15" t="s">
        <v>135</v>
      </c>
      <c r="E22" s="15" t="s">
        <v>147</v>
      </c>
      <c r="F22" s="13">
        <f t="shared" si="1"/>
        <v>45937</v>
      </c>
      <c r="G22" s="13">
        <f t="shared" si="2"/>
        <v>45951</v>
      </c>
      <c r="H22" s="11">
        <v>2</v>
      </c>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1"/>
      <c r="AK22" s="21"/>
      <c r="AL22" s="20"/>
    </row>
    <row r="23" spans="1:38" x14ac:dyDescent="0.25">
      <c r="A23" s="1"/>
    </row>
    <row r="24" spans="1:38" x14ac:dyDescent="0.25">
      <c r="A24" s="1"/>
    </row>
    <row r="25" spans="1:38" x14ac:dyDescent="0.25">
      <c r="A25" s="1"/>
    </row>
    <row r="26" spans="1:38" x14ac:dyDescent="0.25">
      <c r="A26" s="1"/>
    </row>
  </sheetData>
  <pageMargins left="0.7" right="0.7" top="0.75" bottom="0.75" header="0.3" footer="0.3"/>
  <pageSetup paperSize="8" scale="57"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ghlightDatesInRange2">
                <anchor moveWithCells="1">
                  <from>
                    <xdr:col>7</xdr:col>
                    <xdr:colOff>390525</xdr:colOff>
                    <xdr:row>0</xdr:row>
                    <xdr:rowOff>161925</xdr:rowOff>
                  </from>
                  <to>
                    <xdr:col>8</xdr:col>
                    <xdr:colOff>0</xdr:colOff>
                    <xdr:row>1</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Hoja1</vt:lpstr>
      <vt:lpstr>Hoja2</vt:lpstr>
      <vt:lpstr>Hoja3</vt:lpstr>
      <vt:lpstr>Hoja4</vt:lpstr>
      <vt:lpstr>Hoja4!Área_de_impresión</vt:lpstr>
    </vt:vector>
  </TitlesOfParts>
  <Company>Dixguel03</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Malpartida Campos, Bryan Felix</cp:lastModifiedBy>
  <cp:lastPrinted>2025-03-25T21:45:47Z</cp:lastPrinted>
  <dcterms:created xsi:type="dcterms:W3CDTF">2025-03-23T21:12:07Z</dcterms:created>
  <dcterms:modified xsi:type="dcterms:W3CDTF">2025-03-25T22:13:34Z</dcterms:modified>
</cp:coreProperties>
</file>